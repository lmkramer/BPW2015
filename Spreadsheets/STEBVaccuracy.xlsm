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 yWindow="-12" windowWidth="13836" windowHeight="9612" activeTab="1"/>
  </bookViews>
  <sheets>
    <sheet name="STSELIND" sheetId="4" r:id="rId1"/>
    <sheet name="STSELINDMBV" sheetId="1" r:id="rId2"/>
    <sheet name="PseudoBLUP" sheetId="5" r:id="rId3"/>
    <sheet name="example covarstructure" sheetId="6" r:id="rId4"/>
    <sheet name="About" sheetId="2" r:id="rId5"/>
    <sheet name="Sheet3" sheetId="3" r:id="rId6"/>
  </sheets>
  <functionGroups builtInGroupCount="17"/>
  <definedNames>
    <definedName name="nt" localSheetId="2">PseudoBLUP!#REF!</definedName>
    <definedName name="nt" localSheetId="0">STSELIND!#REF!</definedName>
    <definedName name="nt">STSELINDMBV!#REF!</definedName>
    <definedName name="ntx">STSELINDMBV!#REF!</definedName>
  </definedNames>
  <calcPr calcId="145621" concurrentCalc="0"/>
</workbook>
</file>

<file path=xl/calcChain.xml><?xml version="1.0" encoding="utf-8"?>
<calcChain xmlns="http://schemas.openxmlformats.org/spreadsheetml/2006/main">
  <c r="R30" i="6" l="1"/>
  <c r="K30" i="6"/>
  <c r="L29" i="6"/>
  <c r="L28" i="6"/>
  <c r="K28" i="6"/>
  <c r="K27" i="6"/>
  <c r="R28" i="6"/>
  <c r="R29" i="6"/>
  <c r="R27" i="6"/>
  <c r="L26" i="6"/>
  <c r="L22" i="6"/>
  <c r="L27" i="6"/>
  <c r="Q25" i="6"/>
  <c r="J25" i="6"/>
  <c r="E27" i="6"/>
  <c r="E26" i="6"/>
  <c r="E28" i="6"/>
  <c r="K22" i="6"/>
  <c r="E20" i="6"/>
  <c r="E21" i="6"/>
  <c r="E22" i="6"/>
  <c r="R23" i="6"/>
  <c r="T23" i="6"/>
  <c r="L18" i="6"/>
  <c r="L21" i="6"/>
  <c r="T21" i="6"/>
  <c r="R22" i="6"/>
  <c r="T22" i="6"/>
  <c r="T24" i="6"/>
  <c r="L20" i="6"/>
  <c r="T25" i="6"/>
  <c r="J6" i="5"/>
  <c r="J63" i="1"/>
  <c r="J64" i="1"/>
  <c r="J67" i="1"/>
  <c r="J65" i="1"/>
  <c r="J70" i="1"/>
  <c r="J69" i="1"/>
  <c r="J68" i="1"/>
  <c r="J71" i="1"/>
  <c r="J66" i="1"/>
</calcChain>
</file>

<file path=xl/comments1.xml><?xml version="1.0" encoding="utf-8"?>
<comments xmlns="http://schemas.openxmlformats.org/spreadsheetml/2006/main">
  <authors>
    <author>jvanderw</author>
  </authors>
  <commentList>
    <comment ref="F7" authorId="0">
      <text>
        <r>
          <rPr>
            <b/>
            <sz val="9"/>
            <color indexed="81"/>
            <rFont val="Tahoma"/>
            <family val="2"/>
          </rPr>
          <t>jvanderw:</t>
        </r>
        <r>
          <rPr>
            <sz val="9"/>
            <color indexed="81"/>
            <rFont val="Tahoma"/>
            <family val="2"/>
          </rPr>
          <t xml:space="preserve">
percent decrease of accuracy by omitting this variable</t>
        </r>
      </text>
    </comment>
  </commentList>
</comments>
</file>

<file path=xl/comments2.xml><?xml version="1.0" encoding="utf-8"?>
<comments xmlns="http://schemas.openxmlformats.org/spreadsheetml/2006/main">
  <authors>
    <author>jvanderw</author>
    <author>vanderwerf</author>
  </authors>
  <commentList>
    <comment ref="G7" authorId="0">
      <text>
        <r>
          <rPr>
            <b/>
            <sz val="9"/>
            <color indexed="81"/>
            <rFont val="Tahoma"/>
            <family val="2"/>
          </rPr>
          <t>jvanderw:</t>
        </r>
        <r>
          <rPr>
            <sz val="9"/>
            <color indexed="81"/>
            <rFont val="Tahoma"/>
            <family val="2"/>
          </rPr>
          <t xml:space="preserve">
percent decrease of accuracy by omitting this variable</t>
        </r>
      </text>
    </comment>
    <comment ref="C12" authorId="1">
      <text>
        <r>
          <rPr>
            <b/>
            <sz val="9"/>
            <color indexed="81"/>
            <rFont val="Tahoma"/>
            <family val="2"/>
          </rPr>
          <t>vanderwerf:</t>
        </r>
        <r>
          <rPr>
            <sz val="9"/>
            <color indexed="81"/>
            <rFont val="Tahoma"/>
            <family val="2"/>
          </rPr>
          <t xml:space="preserve">
enter the number genotyped</t>
        </r>
      </text>
    </comment>
    <comment ref="C13" authorId="1">
      <text>
        <r>
          <rPr>
            <b/>
            <sz val="9"/>
            <color indexed="81"/>
            <rFont val="Tahoma"/>
            <family val="2"/>
          </rPr>
          <t>vanderwerf:</t>
        </r>
        <r>
          <rPr>
            <sz val="9"/>
            <color indexed="81"/>
            <rFont val="Tahoma"/>
            <family val="2"/>
          </rPr>
          <t xml:space="preserve">
enter the number genotyped</t>
        </r>
      </text>
    </comment>
    <comment ref="C14" authorId="1">
      <text>
        <r>
          <rPr>
            <b/>
            <sz val="9"/>
            <color indexed="81"/>
            <rFont val="Tahoma"/>
            <family val="2"/>
          </rPr>
          <t>vanderwerf:</t>
        </r>
        <r>
          <rPr>
            <sz val="9"/>
            <color indexed="81"/>
            <rFont val="Tahoma"/>
            <family val="2"/>
          </rPr>
          <t xml:space="preserve">
enter the number genotyped</t>
        </r>
      </text>
    </comment>
  </commentList>
</comments>
</file>

<file path=xl/comments3.xml><?xml version="1.0" encoding="utf-8"?>
<comments xmlns="http://schemas.openxmlformats.org/spreadsheetml/2006/main">
  <authors>
    <author>jvanderw</author>
  </authors>
  <commentList>
    <comment ref="F7" authorId="0">
      <text>
        <r>
          <rPr>
            <b/>
            <sz val="9"/>
            <color indexed="81"/>
            <rFont val="Tahoma"/>
            <family val="2"/>
          </rPr>
          <t>jvanderw:</t>
        </r>
        <r>
          <rPr>
            <sz val="9"/>
            <color indexed="81"/>
            <rFont val="Tahoma"/>
            <family val="2"/>
          </rPr>
          <t xml:space="preserve">
percent decrease of accuracy by omitting this variable</t>
        </r>
      </text>
    </comment>
  </commentList>
</comments>
</file>

<file path=xl/sharedStrings.xml><?xml version="1.0" encoding="utf-8"?>
<sst xmlns="http://schemas.openxmlformats.org/spreadsheetml/2006/main" count="304" uniqueCount="109">
  <si>
    <t xml:space="preserve"> </t>
  </si>
  <si>
    <t xml:space="preserve">nr of own records </t>
  </si>
  <si>
    <t>nr. of records on dam</t>
  </si>
  <si>
    <t>nr of records on sire</t>
  </si>
  <si>
    <t>nr of fulls sib records</t>
  </si>
  <si>
    <t>nr. of progeny</t>
  </si>
  <si>
    <t>nr. of half sib records (excl. full sibs)</t>
  </si>
  <si>
    <t>c-squared (among full sibs)</t>
  </si>
  <si>
    <t>value of</t>
  </si>
  <si>
    <t>Parameters</t>
  </si>
  <si>
    <t>Single Trait selection index calculation</t>
  </si>
  <si>
    <t>Information used</t>
  </si>
  <si>
    <t>Nr.Records</t>
  </si>
  <si>
    <t>Heritability</t>
  </si>
  <si>
    <t>Repeatability of subsequent records</t>
  </si>
  <si>
    <t>Index</t>
  </si>
  <si>
    <t>weight</t>
  </si>
  <si>
    <t>variate:</t>
  </si>
  <si>
    <t>sire</t>
  </si>
  <si>
    <t>own</t>
  </si>
  <si>
    <t>dam</t>
  </si>
  <si>
    <t>FS</t>
  </si>
  <si>
    <t>HS</t>
  </si>
  <si>
    <t>prog</t>
  </si>
  <si>
    <t>DNAtest</t>
  </si>
  <si>
    <t>unexpl</t>
  </si>
  <si>
    <t>P-matrix</t>
  </si>
  <si>
    <t>yes</t>
  </si>
  <si>
    <t>no</t>
  </si>
  <si>
    <t>sum Vofv</t>
  </si>
  <si>
    <t>corr EBV HS</t>
  </si>
  <si>
    <t>corr EBV FS</t>
  </si>
  <si>
    <t>G-Matrix</t>
  </si>
  <si>
    <t>b</t>
  </si>
  <si>
    <t>accuracy</t>
  </si>
  <si>
    <t>nr of FS groups per sire</t>
  </si>
  <si>
    <t>size of FS groups</t>
  </si>
  <si>
    <t>size of HS groups</t>
  </si>
  <si>
    <t>Covariance Matrix of information sources of Full Sibs</t>
  </si>
  <si>
    <t>Covariance Matrix of information sources of Half Sibs</t>
  </si>
  <si>
    <t>Genotyped</t>
  </si>
  <si>
    <t>Pheno</t>
  </si>
  <si>
    <t>Geno</t>
  </si>
  <si>
    <t>-</t>
  </si>
  <si>
    <t>Variance=Covariance matrix of Pheno-DNA EBV's (correlation below diag)</t>
  </si>
  <si>
    <t>correlation EBV FS</t>
  </si>
  <si>
    <t>correlation EBV HS</t>
  </si>
  <si>
    <t>Single Trait selection index calculation using genomic testing</t>
  </si>
  <si>
    <t>Reliability of genomic test (prop expl)</t>
  </si>
  <si>
    <t>Accurcay of EBV</t>
  </si>
  <si>
    <t xml:space="preserve">     Value of Variate</t>
  </si>
  <si>
    <t xml:space="preserve">              Index Wght</t>
  </si>
  <si>
    <t>Accuracy of EBV</t>
  </si>
  <si>
    <t>Accuracy of Pheno EBV</t>
  </si>
  <si>
    <t>Accuracy of MBV</t>
  </si>
  <si>
    <t>nr. of dams per sire</t>
  </si>
  <si>
    <t>nr of progeny per dam</t>
  </si>
  <si>
    <t>recorded on</t>
  </si>
  <si>
    <t>both sexes</t>
  </si>
  <si>
    <t>females only</t>
  </si>
  <si>
    <t>males only</t>
  </si>
  <si>
    <t>iteration</t>
  </si>
  <si>
    <t>selected proportion males</t>
  </si>
  <si>
    <t>selected proportion females</t>
  </si>
  <si>
    <t>Equilibrium h2</t>
  </si>
  <si>
    <t>Equilibrium Va</t>
  </si>
  <si>
    <t>nr iter</t>
  </si>
  <si>
    <t>SD of EBV</t>
  </si>
  <si>
    <t>own DNA</t>
  </si>
  <si>
    <t>SD of BV</t>
  </si>
  <si>
    <t>These spreadsheets are developed by Julius van der Werf, Uiversity of New England, Armidale</t>
  </si>
  <si>
    <t>contact: jvanderw@une.edu.au</t>
  </si>
  <si>
    <t>STSELIND</t>
  </si>
  <si>
    <t>STSELTMBV</t>
  </si>
  <si>
    <t>as STSELIND but additionally one can have genomic predictions for the traits on candidatse or relatives</t>
  </si>
  <si>
    <t>PseudoBLUP</t>
  </si>
  <si>
    <t>Predicting PseudoBLUP EBV accurcay</t>
  </si>
  <si>
    <t>Also allowing animals to have no own performance (but note that the procedure does iterate with own OP on animal,  to get parental EBV accuracies with own EBV. Just adding in candidates progeny   in last iteration round.</t>
  </si>
  <si>
    <t xml:space="preserve">Single Trait calculation of BLUP EBV  </t>
  </si>
  <si>
    <t>nr of full sib records</t>
  </si>
  <si>
    <t>Mates</t>
  </si>
  <si>
    <t>Also allowing animals to have progeny records (but note that the procedure does iterate without progeny records on animal,  to get parental EBV accuracies without prgeny means. Just leaving candidates OP out in last iteration round.</t>
  </si>
  <si>
    <t>Iterating on STSELIND and assuming parents an EBV accurcay based on their parents and sibs</t>
  </si>
  <si>
    <t>simple selection index based on max 6 information sources</t>
  </si>
  <si>
    <t xml:space="preserve"> FS families</t>
  </si>
  <si>
    <t>prog per FS family</t>
  </si>
  <si>
    <t>n</t>
  </si>
  <si>
    <t>m</t>
  </si>
  <si>
    <t>prog/dam = m</t>
  </si>
  <si>
    <t>dams/sire =</t>
  </si>
  <si>
    <t>prog per HS family</t>
  </si>
  <si>
    <t>n.m</t>
  </si>
  <si>
    <t>total elements</t>
  </si>
  <si>
    <t>diagnonal elements</t>
  </si>
  <si>
    <t>covar in Vp</t>
  </si>
  <si>
    <t>off diag blocks FS</t>
  </si>
  <si>
    <t>off diag blocks HS</t>
  </si>
  <si>
    <t>sum</t>
  </si>
  <si>
    <t>Total</t>
  </si>
  <si>
    <t>Mean</t>
  </si>
  <si>
    <t>FS family</t>
  </si>
  <si>
    <t>HS family</t>
  </si>
  <si>
    <t>FS family mean of size</t>
  </si>
  <si>
    <t>HS family mean of size</t>
  </si>
  <si>
    <t>total</t>
  </si>
  <si>
    <t>FS excl self</t>
  </si>
  <si>
    <t>HS excl self</t>
  </si>
  <si>
    <t>average</t>
  </si>
  <si>
    <t>With Bulmer Correction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</si>
</sst>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
    <numFmt numFmtId="165" formatCode="0.000"/>
    <numFmt numFmtId="166" formatCode="0.00000"/>
    <numFmt numFmtId="167" formatCode="0.000000000000000"/>
    <numFmt numFmtId="168" formatCode="0.0%"/>
  </numFmts>
  <fonts count="17" x14ac:knownFonts="1">
    <font>
      <sz val="10"/>
      <name val="Arial"/>
    </font>
    <font>
      <sz val="10"/>
      <name val="Arial"/>
      <family val="2"/>
    </font>
    <font>
      <sz val="10"/>
      <name val="Times New Roman"/>
      <family val="1"/>
    </font>
    <font>
      <sz val="10"/>
      <name val="Arial"/>
      <family val="2"/>
    </font>
    <font>
      <sz val="9"/>
      <color indexed="81"/>
      <name val="Tahoma"/>
      <family val="2"/>
    </font>
    <font>
      <b/>
      <sz val="9"/>
      <color indexed="81"/>
      <name val="Tahoma"/>
      <family val="2"/>
    </font>
    <font>
      <b/>
      <sz val="14"/>
      <name val="Arial"/>
      <family val="2"/>
    </font>
    <font>
      <b/>
      <sz val="12"/>
      <name val="Arial"/>
      <family val="2"/>
    </font>
    <font>
      <b/>
      <sz val="10"/>
      <name val="Arial"/>
      <family val="2"/>
    </font>
    <font>
      <sz val="9"/>
      <name val="Arial"/>
      <family val="2"/>
    </font>
    <font>
      <b/>
      <sz val="11"/>
      <name val="Arial"/>
      <family val="2"/>
    </font>
    <font>
      <sz val="10"/>
      <name val="Calibri"/>
      <family val="2"/>
      <scheme val="minor"/>
    </font>
    <font>
      <sz val="16"/>
      <name val="Calibri"/>
      <family val="2"/>
      <scheme val="minor"/>
    </font>
    <font>
      <sz val="8"/>
      <name val="Calibri"/>
      <family val="2"/>
      <scheme val="minor"/>
    </font>
    <font>
      <sz val="9"/>
      <name val="Calibri"/>
      <family val="2"/>
      <scheme val="minor"/>
    </font>
    <font>
      <sz val="8"/>
      <name val="Arial"/>
      <family val="2"/>
    </font>
    <font>
      <b/>
      <i/>
      <sz val="10"/>
      <color rgb="FFFF0000"/>
      <name val="Arial"/>
      <family val="2"/>
    </font>
  </fonts>
  <fills count="16">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3"/>
        <bgColor indexed="64"/>
      </patternFill>
    </fill>
    <fill>
      <patternFill patternType="solid">
        <fgColor rgb="FFFFFF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rgb="FFFFC000"/>
        <bgColor indexed="64"/>
      </patternFill>
    </fill>
    <fill>
      <patternFill patternType="solid">
        <fgColor rgb="FFFFFFCC"/>
        <bgColor indexed="64"/>
      </patternFill>
    </fill>
    <fill>
      <patternFill patternType="solid">
        <fgColor rgb="FFFFFF66"/>
        <bgColor indexed="64"/>
      </patternFill>
    </fill>
    <fill>
      <patternFill patternType="solid">
        <fgColor theme="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C00000"/>
        <bgColor indexed="64"/>
      </patternFill>
    </fill>
  </fills>
  <borders count="24">
    <border>
      <left/>
      <right/>
      <top/>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s>
  <cellStyleXfs count="2">
    <xf numFmtId="0" fontId="0" fillId="0" borderId="0"/>
    <xf numFmtId="9" fontId="1" fillId="0" borderId="0" applyFont="0" applyFill="0" applyBorder="0" applyAlignment="0" applyProtection="0"/>
  </cellStyleXfs>
  <cellXfs count="151">
    <xf numFmtId="0" fontId="0" fillId="0" borderId="0" xfId="0"/>
    <xf numFmtId="0" fontId="0" fillId="2" borderId="0" xfId="0" applyFill="1" applyAlignment="1">
      <alignment horizontal="center"/>
    </xf>
    <xf numFmtId="0" fontId="0" fillId="2" borderId="0" xfId="0" applyFill="1"/>
    <xf numFmtId="0" fontId="2" fillId="2" borderId="0" xfId="0" applyFont="1" applyFill="1"/>
    <xf numFmtId="2" fontId="0" fillId="2" borderId="0" xfId="0" applyNumberFormat="1" applyFill="1"/>
    <xf numFmtId="165" fontId="0" fillId="2" borderId="0" xfId="0" applyNumberFormat="1" applyFill="1"/>
    <xf numFmtId="1" fontId="0" fillId="2" borderId="0" xfId="0" applyNumberFormat="1" applyFill="1" applyAlignment="1">
      <alignment horizontal="center"/>
    </xf>
    <xf numFmtId="0" fontId="0" fillId="2" borderId="0" xfId="0" applyFill="1" applyBorder="1"/>
    <xf numFmtId="0" fontId="3" fillId="2" borderId="0" xfId="0" applyFont="1" applyFill="1" applyBorder="1"/>
    <xf numFmtId="0" fontId="3" fillId="2" borderId="1" xfId="0" applyFont="1" applyFill="1" applyBorder="1"/>
    <xf numFmtId="0" fontId="3" fillId="2" borderId="0" xfId="0" applyFont="1" applyFill="1"/>
    <xf numFmtId="167" fontId="0" fillId="2" borderId="0" xfId="0" applyNumberFormat="1" applyFill="1"/>
    <xf numFmtId="164" fontId="11" fillId="5" borderId="2" xfId="0" applyNumberFormat="1" applyFont="1" applyFill="1" applyBorder="1" applyAlignment="1">
      <alignment horizontal="center"/>
    </xf>
    <xf numFmtId="165" fontId="11" fillId="5" borderId="3" xfId="0" applyNumberFormat="1" applyFont="1" applyFill="1" applyBorder="1" applyAlignment="1">
      <alignment horizontal="center"/>
    </xf>
    <xf numFmtId="165" fontId="11" fillId="2" borderId="0" xfId="0" applyNumberFormat="1" applyFont="1" applyFill="1" applyAlignment="1">
      <alignment horizontal="center"/>
    </xf>
    <xf numFmtId="0" fontId="11" fillId="2" borderId="0" xfId="0" applyFont="1" applyFill="1"/>
    <xf numFmtId="0" fontId="11" fillId="5" borderId="3" xfId="0" applyFont="1" applyFill="1" applyBorder="1" applyAlignment="1">
      <alignment horizontal="center"/>
    </xf>
    <xf numFmtId="0" fontId="11" fillId="2" borderId="0" xfId="0" applyFont="1" applyFill="1" applyAlignment="1">
      <alignment horizontal="center"/>
    </xf>
    <xf numFmtId="164" fontId="11" fillId="5" borderId="3" xfId="0" applyNumberFormat="1" applyFont="1" applyFill="1" applyBorder="1" applyAlignment="1">
      <alignment horizontal="center"/>
    </xf>
    <xf numFmtId="0" fontId="11" fillId="5" borderId="4" xfId="0" applyFont="1" applyFill="1" applyBorder="1" applyAlignment="1">
      <alignment horizontal="center"/>
    </xf>
    <xf numFmtId="164" fontId="11" fillId="5" borderId="4" xfId="0" applyNumberFormat="1" applyFont="1" applyFill="1" applyBorder="1" applyAlignment="1">
      <alignment horizontal="center"/>
    </xf>
    <xf numFmtId="164" fontId="11" fillId="5" borderId="1" xfId="0" applyNumberFormat="1" applyFont="1" applyFill="1" applyBorder="1" applyAlignment="1">
      <alignment horizontal="center"/>
    </xf>
    <xf numFmtId="164" fontId="11" fillId="5" borderId="0" xfId="0" applyNumberFormat="1" applyFont="1" applyFill="1" applyBorder="1" applyAlignment="1">
      <alignment horizontal="center"/>
    </xf>
    <xf numFmtId="164" fontId="11" fillId="5" borderId="5" xfId="0" applyNumberFormat="1" applyFont="1" applyFill="1" applyBorder="1" applyAlignment="1">
      <alignment horizontal="center"/>
    </xf>
    <xf numFmtId="164" fontId="11" fillId="5" borderId="6" xfId="0" applyNumberFormat="1" applyFont="1" applyFill="1" applyBorder="1" applyAlignment="1">
      <alignment horizontal="center"/>
    </xf>
    <xf numFmtId="164" fontId="11" fillId="5" borderId="7" xfId="0" applyNumberFormat="1" applyFont="1" applyFill="1" applyBorder="1" applyAlignment="1">
      <alignment horizontal="center"/>
    </xf>
    <xf numFmtId="0" fontId="12" fillId="2" borderId="0" xfId="0" applyFont="1" applyFill="1"/>
    <xf numFmtId="0" fontId="11" fillId="6" borderId="8" xfId="0" applyFont="1" applyFill="1" applyBorder="1" applyAlignment="1">
      <alignment horizontal="center"/>
    </xf>
    <xf numFmtId="0" fontId="11" fillId="6" borderId="9" xfId="0" applyFont="1" applyFill="1" applyBorder="1"/>
    <xf numFmtId="0" fontId="11" fillId="7" borderId="1" xfId="0" applyFont="1" applyFill="1" applyBorder="1" applyAlignment="1">
      <alignment horizontal="right"/>
    </xf>
    <xf numFmtId="0" fontId="11" fillId="8" borderId="5" xfId="0" applyFont="1" applyFill="1" applyBorder="1" applyAlignment="1">
      <alignment horizontal="center"/>
    </xf>
    <xf numFmtId="0" fontId="11" fillId="8" borderId="1" xfId="0" applyFont="1" applyFill="1" applyBorder="1"/>
    <xf numFmtId="0" fontId="11" fillId="8" borderId="5" xfId="0" applyFont="1" applyFill="1" applyBorder="1"/>
    <xf numFmtId="0" fontId="11" fillId="8" borderId="6" xfId="0" applyFont="1" applyFill="1" applyBorder="1"/>
    <xf numFmtId="0" fontId="11" fillId="8" borderId="7" xfId="0" applyFont="1" applyFill="1" applyBorder="1"/>
    <xf numFmtId="0" fontId="13" fillId="6" borderId="9" xfId="0" applyFont="1" applyFill="1" applyBorder="1" applyAlignment="1">
      <alignment horizontal="center"/>
    </xf>
    <xf numFmtId="0" fontId="11" fillId="3" borderId="5" xfId="0" applyFont="1" applyFill="1" applyBorder="1" applyAlignment="1">
      <alignment horizontal="center"/>
    </xf>
    <xf numFmtId="0" fontId="11" fillId="7" borderId="6" xfId="0" applyFont="1" applyFill="1" applyBorder="1" applyAlignment="1">
      <alignment horizontal="right"/>
    </xf>
    <xf numFmtId="1" fontId="11" fillId="3" borderId="7" xfId="0" applyNumberFormat="1" applyFont="1" applyFill="1" applyBorder="1" applyAlignment="1">
      <alignment horizontal="center"/>
    </xf>
    <xf numFmtId="0" fontId="11" fillId="9" borderId="1" xfId="0" applyFont="1" applyFill="1" applyBorder="1" applyAlignment="1">
      <alignment horizontal="center"/>
    </xf>
    <xf numFmtId="165" fontId="11" fillId="10" borderId="1" xfId="0" applyNumberFormat="1" applyFont="1" applyFill="1" applyBorder="1" applyAlignment="1">
      <alignment horizontal="center"/>
    </xf>
    <xf numFmtId="165" fontId="11" fillId="10" borderId="6" xfId="0" applyNumberFormat="1" applyFont="1" applyFill="1" applyBorder="1" applyAlignment="1">
      <alignment horizontal="center"/>
    </xf>
    <xf numFmtId="0" fontId="2" fillId="2" borderId="0" xfId="0" applyFont="1" applyFill="1" applyAlignment="1">
      <alignment horizontal="right"/>
    </xf>
    <xf numFmtId="0" fontId="6" fillId="0" borderId="0" xfId="0" applyFont="1"/>
    <xf numFmtId="0" fontId="7" fillId="2" borderId="0" xfId="0" applyFont="1" applyFill="1"/>
    <xf numFmtId="0" fontId="7" fillId="0" borderId="0" xfId="0" applyFont="1"/>
    <xf numFmtId="2" fontId="0" fillId="2" borderId="0" xfId="0" applyNumberFormat="1" applyFill="1" applyAlignment="1">
      <alignment horizontal="right"/>
    </xf>
    <xf numFmtId="0" fontId="0" fillId="2" borderId="0" xfId="0" applyFill="1" applyAlignment="1">
      <alignment horizontal="right"/>
    </xf>
    <xf numFmtId="1" fontId="0" fillId="2" borderId="0" xfId="0" applyNumberFormat="1" applyFill="1" applyAlignment="1">
      <alignment horizontal="right"/>
    </xf>
    <xf numFmtId="0" fontId="3" fillId="0" borderId="0" xfId="0" applyFont="1"/>
    <xf numFmtId="0" fontId="0" fillId="2" borderId="10" xfId="0" applyFill="1" applyBorder="1" applyAlignment="1">
      <alignment horizontal="center"/>
    </xf>
    <xf numFmtId="0" fontId="0" fillId="2" borderId="3" xfId="0" applyFill="1" applyBorder="1" applyAlignment="1">
      <alignment horizontal="center"/>
    </xf>
    <xf numFmtId="0" fontId="3" fillId="2" borderId="3" xfId="0" applyFont="1" applyFill="1" applyBorder="1" applyAlignment="1">
      <alignment horizontal="center"/>
    </xf>
    <xf numFmtId="165" fontId="0" fillId="11" borderId="4" xfId="0" applyNumberFormat="1" applyFill="1" applyBorder="1" applyAlignment="1">
      <alignment horizontal="center"/>
    </xf>
    <xf numFmtId="1" fontId="3" fillId="2" borderId="0" xfId="0" applyNumberFormat="1" applyFont="1" applyFill="1" applyAlignment="1">
      <alignment horizontal="left"/>
    </xf>
    <xf numFmtId="0" fontId="11" fillId="8" borderId="0" xfId="0" applyFont="1" applyFill="1" applyBorder="1"/>
    <xf numFmtId="0" fontId="13" fillId="6" borderId="0" xfId="0" applyFont="1" applyFill="1" applyBorder="1" applyAlignment="1">
      <alignment horizontal="center"/>
    </xf>
    <xf numFmtId="0" fontId="0" fillId="12" borderId="0" xfId="0" applyFill="1"/>
    <xf numFmtId="165" fontId="0" fillId="11" borderId="3" xfId="0" applyNumberFormat="1" applyFill="1" applyBorder="1" applyAlignment="1">
      <alignment horizontal="center"/>
    </xf>
    <xf numFmtId="0" fontId="3" fillId="4" borderId="0" xfId="0" applyFont="1" applyFill="1" applyAlignment="1">
      <alignment horizontal="left"/>
    </xf>
    <xf numFmtId="0" fontId="0" fillId="4" borderId="0" xfId="0" applyFill="1" applyAlignment="1">
      <alignment horizontal="center"/>
    </xf>
    <xf numFmtId="0" fontId="0" fillId="4" borderId="9" xfId="0" applyFill="1" applyBorder="1" applyAlignment="1">
      <alignment horizontal="center"/>
    </xf>
    <xf numFmtId="166" fontId="0" fillId="2" borderId="0" xfId="0" applyNumberFormat="1" applyFill="1" applyAlignment="1">
      <alignment horizontal="center"/>
    </xf>
    <xf numFmtId="164" fontId="11" fillId="5" borderId="8" xfId="0" applyNumberFormat="1" applyFont="1" applyFill="1" applyBorder="1" applyAlignment="1">
      <alignment horizontal="center"/>
    </xf>
    <xf numFmtId="164" fontId="11" fillId="5" borderId="11" xfId="0" applyNumberFormat="1" applyFont="1" applyFill="1" applyBorder="1" applyAlignment="1">
      <alignment horizontal="center"/>
    </xf>
    <xf numFmtId="165" fontId="11" fillId="5" borderId="10" xfId="0" applyNumberFormat="1" applyFont="1" applyFill="1" applyBorder="1" applyAlignment="1">
      <alignment horizontal="center"/>
    </xf>
    <xf numFmtId="164" fontId="0" fillId="5" borderId="12" xfId="0" applyNumberFormat="1" applyFill="1" applyBorder="1" applyAlignment="1">
      <alignment horizontal="center"/>
    </xf>
    <xf numFmtId="0" fontId="0" fillId="2" borderId="0" xfId="0" applyFill="1" applyBorder="1" applyAlignment="1">
      <alignment horizontal="center"/>
    </xf>
    <xf numFmtId="0" fontId="0" fillId="2" borderId="2" xfId="0" applyFill="1" applyBorder="1" applyAlignment="1">
      <alignment horizontal="center"/>
    </xf>
    <xf numFmtId="0" fontId="0" fillId="2" borderId="11" xfId="0" applyFill="1" applyBorder="1" applyAlignment="1">
      <alignment horizontal="center"/>
    </xf>
    <xf numFmtId="0" fontId="0" fillId="12" borderId="0" xfId="0" applyFill="1" applyBorder="1"/>
    <xf numFmtId="165" fontId="0" fillId="5" borderId="10" xfId="0" applyNumberFormat="1" applyFill="1" applyBorder="1" applyAlignment="1">
      <alignment horizontal="center"/>
    </xf>
    <xf numFmtId="165" fontId="0" fillId="5" borderId="4" xfId="0" applyNumberFormat="1" applyFill="1" applyBorder="1" applyAlignment="1">
      <alignment horizontal="center"/>
    </xf>
    <xf numFmtId="0" fontId="3" fillId="12" borderId="0" xfId="0" applyFont="1" applyFill="1" applyBorder="1" applyAlignment="1">
      <alignment horizontal="right"/>
    </xf>
    <xf numFmtId="0" fontId="11" fillId="9" borderId="3" xfId="0" applyFont="1" applyFill="1" applyBorder="1" applyAlignment="1">
      <alignment horizontal="center"/>
    </xf>
    <xf numFmtId="165" fontId="11" fillId="10" borderId="3" xfId="0" applyNumberFormat="1" applyFont="1" applyFill="1" applyBorder="1" applyAlignment="1">
      <alignment horizontal="center"/>
    </xf>
    <xf numFmtId="165" fontId="11" fillId="10" borderId="4" xfId="0" applyNumberFormat="1" applyFont="1" applyFill="1" applyBorder="1" applyAlignment="1">
      <alignment horizontal="center"/>
    </xf>
    <xf numFmtId="0" fontId="8" fillId="12" borderId="0" xfId="0" applyFont="1" applyFill="1" applyAlignment="1">
      <alignment horizontal="right"/>
    </xf>
    <xf numFmtId="0" fontId="11" fillId="9" borderId="10" xfId="0" applyFont="1" applyFill="1" applyBorder="1" applyAlignment="1">
      <alignment horizontal="center"/>
    </xf>
    <xf numFmtId="164" fontId="11" fillId="5" borderId="9" xfId="0" applyNumberFormat="1" applyFont="1" applyFill="1" applyBorder="1" applyAlignment="1">
      <alignment horizontal="center"/>
    </xf>
    <xf numFmtId="0" fontId="11" fillId="9" borderId="13" xfId="0" applyFont="1" applyFill="1" applyBorder="1" applyAlignment="1">
      <alignment horizontal="center"/>
    </xf>
    <xf numFmtId="0" fontId="11" fillId="9" borderId="14" xfId="0" applyFont="1" applyFill="1" applyBorder="1" applyAlignment="1">
      <alignment horizontal="left"/>
    </xf>
    <xf numFmtId="0" fontId="3" fillId="2" borderId="0" xfId="0" applyFont="1" applyFill="1" applyAlignment="1">
      <alignment horizontal="right"/>
    </xf>
    <xf numFmtId="0" fontId="9" fillId="2" borderId="0" xfId="0" applyFont="1" applyFill="1" applyAlignment="1">
      <alignment horizontal="center"/>
    </xf>
    <xf numFmtId="0" fontId="14" fillId="3" borderId="5" xfId="0" applyFont="1" applyFill="1" applyBorder="1" applyAlignment="1">
      <alignment horizontal="center"/>
    </xf>
    <xf numFmtId="9" fontId="11" fillId="3" borderId="5" xfId="0" applyNumberFormat="1" applyFont="1" applyFill="1" applyBorder="1" applyAlignment="1">
      <alignment horizontal="center"/>
    </xf>
    <xf numFmtId="168" fontId="11" fillId="10" borderId="3" xfId="1" applyNumberFormat="1" applyFont="1" applyFill="1" applyBorder="1" applyAlignment="1">
      <alignment horizontal="center"/>
    </xf>
    <xf numFmtId="168" fontId="11" fillId="10" borderId="1" xfId="1" applyNumberFormat="1" applyFont="1" applyFill="1" applyBorder="1" applyAlignment="1">
      <alignment horizontal="center"/>
    </xf>
    <xf numFmtId="168" fontId="11" fillId="10" borderId="6" xfId="1" applyNumberFormat="1" applyFont="1" applyFill="1" applyBorder="1" applyAlignment="1">
      <alignment horizontal="center"/>
    </xf>
    <xf numFmtId="168" fontId="11" fillId="10" borderId="4" xfId="1" applyNumberFormat="1" applyFont="1" applyFill="1" applyBorder="1" applyAlignment="1">
      <alignment horizontal="center"/>
    </xf>
    <xf numFmtId="165" fontId="0" fillId="2" borderId="0" xfId="0" applyNumberFormat="1" applyFill="1" applyAlignment="1">
      <alignment horizontal="center"/>
    </xf>
    <xf numFmtId="9" fontId="11" fillId="10" borderId="3" xfId="1" applyFont="1" applyFill="1" applyBorder="1" applyAlignment="1">
      <alignment horizontal="center"/>
    </xf>
    <xf numFmtId="9" fontId="11" fillId="10" borderId="4" xfId="1" applyFont="1" applyFill="1" applyBorder="1" applyAlignment="1">
      <alignment horizontal="center"/>
    </xf>
    <xf numFmtId="0" fontId="11" fillId="3" borderId="5" xfId="0" applyFont="1" applyFill="1" applyBorder="1" applyAlignment="1">
      <alignment horizontal="right"/>
    </xf>
    <xf numFmtId="0" fontId="11" fillId="3" borderId="7" xfId="0" applyFont="1" applyFill="1" applyBorder="1" applyAlignment="1">
      <alignment horizontal="center"/>
    </xf>
    <xf numFmtId="164" fontId="11" fillId="5" borderId="10" xfId="0" applyNumberFormat="1" applyFont="1" applyFill="1" applyBorder="1" applyAlignment="1">
      <alignment horizontal="center"/>
    </xf>
    <xf numFmtId="164" fontId="7" fillId="5" borderId="12" xfId="0" applyNumberFormat="1" applyFont="1" applyFill="1" applyBorder="1" applyAlignment="1">
      <alignment horizontal="center"/>
    </xf>
    <xf numFmtId="166" fontId="0" fillId="2" borderId="3" xfId="0" applyNumberFormat="1" applyFill="1" applyBorder="1" applyAlignment="1">
      <alignment horizontal="center"/>
    </xf>
    <xf numFmtId="164" fontId="10" fillId="5" borderId="12" xfId="0" applyNumberFormat="1" applyFont="1" applyFill="1" applyBorder="1" applyAlignment="1">
      <alignment horizontal="center"/>
    </xf>
    <xf numFmtId="0" fontId="15" fillId="2" borderId="0" xfId="0" applyFont="1" applyFill="1"/>
    <xf numFmtId="166" fontId="15" fillId="2" borderId="0" xfId="0" applyNumberFormat="1" applyFont="1" applyFill="1" applyAlignment="1">
      <alignment horizontal="center"/>
    </xf>
    <xf numFmtId="0" fontId="0" fillId="0" borderId="8" xfId="0" applyBorder="1"/>
    <xf numFmtId="0" fontId="0" fillId="0" borderId="11" xfId="0" applyBorder="1"/>
    <xf numFmtId="0" fontId="0" fillId="0" borderId="9" xfId="0" applyBorder="1"/>
    <xf numFmtId="0" fontId="0" fillId="0" borderId="1" xfId="0" applyBorder="1"/>
    <xf numFmtId="0" fontId="0" fillId="0" borderId="0" xfId="0" applyBorder="1"/>
    <xf numFmtId="0" fontId="0" fillId="0" borderId="5" xfId="0" applyBorder="1"/>
    <xf numFmtId="0" fontId="0" fillId="0" borderId="6" xfId="0" applyBorder="1"/>
    <xf numFmtId="0" fontId="0" fillId="0" borderId="2" xfId="0" applyBorder="1"/>
    <xf numFmtId="0" fontId="0" fillId="13" borderId="11" xfId="0" applyFill="1" applyBorder="1"/>
    <xf numFmtId="0" fontId="0" fillId="13" borderId="9" xfId="0" applyFill="1" applyBorder="1"/>
    <xf numFmtId="0" fontId="0" fillId="13" borderId="1" xfId="0" applyFill="1" applyBorder="1"/>
    <xf numFmtId="0" fontId="0" fillId="13" borderId="0" xfId="0" applyFill="1" applyBorder="1"/>
    <xf numFmtId="0" fontId="0" fillId="13" borderId="5" xfId="0" applyFill="1" applyBorder="1"/>
    <xf numFmtId="0" fontId="0" fillId="13" borderId="6" xfId="0" applyFill="1" applyBorder="1"/>
    <xf numFmtId="0" fontId="0" fillId="13" borderId="2" xfId="0" applyFill="1" applyBorder="1"/>
    <xf numFmtId="0" fontId="0" fillId="14" borderId="0" xfId="0" applyFill="1" applyBorder="1"/>
    <xf numFmtId="0" fontId="0" fillId="14" borderId="2" xfId="0" applyFill="1" applyBorder="1"/>
    <xf numFmtId="0" fontId="0" fillId="15" borderId="8" xfId="0" applyFill="1" applyBorder="1"/>
    <xf numFmtId="0" fontId="3" fillId="0" borderId="11" xfId="0" applyFont="1" applyBorder="1"/>
    <xf numFmtId="0" fontId="3" fillId="0" borderId="0" xfId="0" applyFont="1" applyBorder="1"/>
    <xf numFmtId="0" fontId="9" fillId="0" borderId="5" xfId="0" applyFont="1" applyBorder="1" applyAlignment="1">
      <alignment wrapText="1"/>
    </xf>
    <xf numFmtId="0" fontId="3" fillId="0" borderId="2" xfId="0" applyFont="1" applyBorder="1"/>
    <xf numFmtId="0" fontId="9" fillId="0" borderId="0" xfId="0" applyFont="1" applyBorder="1" applyAlignment="1">
      <alignment wrapText="1"/>
    </xf>
    <xf numFmtId="0" fontId="0" fillId="15" borderId="15" xfId="0" applyFill="1" applyBorder="1"/>
    <xf numFmtId="0" fontId="0" fillId="14" borderId="16" xfId="0" applyFill="1" applyBorder="1"/>
    <xf numFmtId="0" fontId="0" fillId="14" borderId="17" xfId="0" applyFill="1" applyBorder="1"/>
    <xf numFmtId="0" fontId="0" fillId="14" borderId="18" xfId="0" applyFill="1" applyBorder="1"/>
    <xf numFmtId="0" fontId="0" fillId="14" borderId="19" xfId="0" applyFill="1" applyBorder="1"/>
    <xf numFmtId="0" fontId="0" fillId="14" borderId="20" xfId="0" applyFill="1" applyBorder="1"/>
    <xf numFmtId="0" fontId="0" fillId="14" borderId="21" xfId="0" applyFill="1" applyBorder="1"/>
    <xf numFmtId="0" fontId="0" fillId="15" borderId="22" xfId="0" applyFill="1" applyBorder="1"/>
    <xf numFmtId="0" fontId="0" fillId="15" borderId="23" xfId="0" applyFill="1" applyBorder="1"/>
    <xf numFmtId="0" fontId="0" fillId="13" borderId="16" xfId="0" applyFill="1" applyBorder="1"/>
    <xf numFmtId="0" fontId="0" fillId="13" borderId="17" xfId="0" applyFill="1" applyBorder="1"/>
    <xf numFmtId="0" fontId="0" fillId="13" borderId="19" xfId="0" applyFill="1" applyBorder="1"/>
    <xf numFmtId="0" fontId="0" fillId="13" borderId="18" xfId="0" applyFill="1" applyBorder="1"/>
    <xf numFmtId="0" fontId="0" fillId="13" borderId="20" xfId="0" applyFill="1" applyBorder="1"/>
    <xf numFmtId="0" fontId="0" fillId="13" borderId="21" xfId="0" applyFill="1" applyBorder="1"/>
    <xf numFmtId="0" fontId="0" fillId="5" borderId="1" xfId="0" applyFill="1" applyBorder="1" applyAlignment="1">
      <alignment horizontal="center"/>
    </xf>
    <xf numFmtId="0" fontId="0" fillId="5" borderId="6" xfId="0" applyFill="1" applyBorder="1" applyAlignment="1">
      <alignment horizontal="center"/>
    </xf>
    <xf numFmtId="0" fontId="0" fillId="5" borderId="11" xfId="0" applyFill="1" applyBorder="1"/>
    <xf numFmtId="165" fontId="0" fillId="0" borderId="2" xfId="0" applyNumberFormat="1" applyBorder="1"/>
    <xf numFmtId="164" fontId="0" fillId="0" borderId="5" xfId="0" applyNumberFormat="1" applyBorder="1"/>
    <xf numFmtId="165" fontId="0" fillId="0" borderId="5" xfId="0" applyNumberFormat="1" applyBorder="1"/>
    <xf numFmtId="165" fontId="0" fillId="0" borderId="7" xfId="0" applyNumberFormat="1" applyBorder="1"/>
    <xf numFmtId="0" fontId="0" fillId="5" borderId="1" xfId="0" applyFill="1" applyBorder="1"/>
    <xf numFmtId="0" fontId="0" fillId="5" borderId="6" xfId="0" applyFill="1" applyBorder="1"/>
    <xf numFmtId="164" fontId="0" fillId="0" borderId="0" xfId="0" applyNumberFormat="1"/>
    <xf numFmtId="0" fontId="3" fillId="0" borderId="0" xfId="0" applyFont="1" applyAlignment="1">
      <alignment horizontal="right"/>
    </xf>
    <xf numFmtId="0" fontId="16" fillId="2" borderId="0" xfId="0" applyFont="1" applyFill="1"/>
  </cellXfs>
  <cellStyles count="2">
    <cellStyle name="Normal" xfId="0" builtinId="0"/>
    <cellStyle name="Per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2</xdr:col>
      <xdr:colOff>289560</xdr:colOff>
      <xdr:row>1</xdr:row>
      <xdr:rowOff>150495</xdr:rowOff>
    </xdr:from>
    <xdr:to>
      <xdr:col>3</xdr:col>
      <xdr:colOff>287663</xdr:colOff>
      <xdr:row>4</xdr:row>
      <xdr:rowOff>66598</xdr:rowOff>
    </xdr:to>
    <xdr:sp macro="[0]!stselind" textlink="">
      <xdr:nvSpPr>
        <xdr:cNvPr id="2" name="Text Box 1"/>
        <xdr:cNvSpPr txBox="1">
          <a:spLocks noChangeArrowheads="1"/>
        </xdr:cNvSpPr>
      </xdr:nvSpPr>
      <xdr:spPr bwMode="auto">
        <a:xfrm>
          <a:off x="2996565" y="638175"/>
          <a:ext cx="720090" cy="401878"/>
        </a:xfrm>
        <a:prstGeom prst="rect">
          <a:avLst/>
        </a:prstGeom>
        <a:solidFill>
          <a:schemeClr val="accent3"/>
        </a:solidFill>
        <a:ln w="9525">
          <a:solidFill>
            <a:srgbClr val="000000"/>
          </a:solidFill>
          <a:miter lim="800000"/>
          <a:headEnd/>
          <a:tailEnd/>
        </a:ln>
        <a:scene3d>
          <a:camera prst="orthographicFront"/>
          <a:lightRig rig="threePt" dir="t"/>
        </a:scene3d>
        <a:sp3d>
          <a:bevelT w="127000"/>
        </a:sp3d>
      </xdr:spPr>
      <xdr:txBody>
        <a:bodyPr vertOverflow="clip" wrap="square" lIns="54864" tIns="41148" rIns="0" bIns="0" anchor="t" upright="1"/>
        <a:lstStyle/>
        <a:p>
          <a:pPr algn="l" rtl="0">
            <a:defRPr sz="1000"/>
          </a:pPr>
          <a:r>
            <a:rPr lang="en-AU" sz="2400" b="0" i="0" u="none" strike="noStrike" baseline="0">
              <a:solidFill>
                <a:srgbClr val="000000"/>
              </a:solidFill>
              <a:latin typeface="Arial"/>
              <a:cs typeface="Arial"/>
            </a:rPr>
            <a:t>Run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99723</xdr:colOff>
      <xdr:row>1</xdr:row>
      <xdr:rowOff>167060</xdr:rowOff>
    </xdr:from>
    <xdr:to>
      <xdr:col>4</xdr:col>
      <xdr:colOff>207066</xdr:colOff>
      <xdr:row>4</xdr:row>
      <xdr:rowOff>83163</xdr:rowOff>
    </xdr:to>
    <xdr:sp macro="[0]!stselindMBV" textlink="">
      <xdr:nvSpPr>
        <xdr:cNvPr id="1025" name="Text Box 1"/>
        <xdr:cNvSpPr txBox="1">
          <a:spLocks noChangeArrowheads="1"/>
        </xdr:cNvSpPr>
      </xdr:nvSpPr>
      <xdr:spPr bwMode="auto">
        <a:xfrm>
          <a:off x="3528723" y="656397"/>
          <a:ext cx="720256" cy="413059"/>
        </a:xfrm>
        <a:prstGeom prst="rect">
          <a:avLst/>
        </a:prstGeom>
        <a:solidFill>
          <a:schemeClr val="accent3"/>
        </a:solidFill>
        <a:ln w="9525">
          <a:solidFill>
            <a:srgbClr val="000000"/>
          </a:solidFill>
          <a:miter lim="800000"/>
          <a:headEnd/>
          <a:tailEnd/>
        </a:ln>
        <a:scene3d>
          <a:camera prst="orthographicFront"/>
          <a:lightRig rig="threePt" dir="t"/>
        </a:scene3d>
        <a:sp3d>
          <a:bevelT w="139700"/>
        </a:sp3d>
      </xdr:spPr>
      <xdr:txBody>
        <a:bodyPr vertOverflow="clip" wrap="square" lIns="54864" tIns="41148" rIns="0" bIns="0" anchor="t" upright="1"/>
        <a:lstStyle/>
        <a:p>
          <a:pPr algn="l" rtl="0">
            <a:defRPr sz="1000"/>
          </a:pPr>
          <a:r>
            <a:rPr lang="en-AU" sz="2400" b="0" i="0" u="none" strike="noStrike" baseline="0">
              <a:solidFill>
                <a:srgbClr val="000000"/>
              </a:solidFill>
              <a:latin typeface="Arial"/>
              <a:cs typeface="Arial"/>
            </a:rPr>
            <a:t>Run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281939</xdr:colOff>
      <xdr:row>1</xdr:row>
      <xdr:rowOff>150495</xdr:rowOff>
    </xdr:from>
    <xdr:to>
      <xdr:col>6</xdr:col>
      <xdr:colOff>27214</xdr:colOff>
      <xdr:row>3</xdr:row>
      <xdr:rowOff>110472</xdr:rowOff>
    </xdr:to>
    <xdr:sp macro="[0]!PseudoBLUP" textlink="">
      <xdr:nvSpPr>
        <xdr:cNvPr id="2" name="Text Box 1"/>
        <xdr:cNvSpPr txBox="1">
          <a:spLocks noChangeArrowheads="1"/>
        </xdr:cNvSpPr>
      </xdr:nvSpPr>
      <xdr:spPr bwMode="auto">
        <a:xfrm>
          <a:off x="3172096" y="417195"/>
          <a:ext cx="2281647" cy="308320"/>
        </a:xfrm>
        <a:prstGeom prst="rect">
          <a:avLst/>
        </a:prstGeom>
        <a:solidFill>
          <a:schemeClr val="accent3"/>
        </a:solidFill>
        <a:ln w="9525">
          <a:solidFill>
            <a:srgbClr val="000000"/>
          </a:solidFill>
          <a:miter lim="800000"/>
          <a:headEnd/>
          <a:tailEnd/>
        </a:ln>
        <a:scene3d>
          <a:camera prst="orthographicFront"/>
          <a:lightRig rig="morning" dir="t"/>
        </a:scene3d>
        <a:sp3d>
          <a:bevelT w="165100" prst="coolSlant"/>
        </a:sp3d>
      </xdr:spPr>
      <xdr:txBody>
        <a:bodyPr vertOverflow="clip" wrap="square" lIns="54864" tIns="41148" rIns="0" bIns="0" anchor="t" upright="1"/>
        <a:lstStyle/>
        <a:p>
          <a:pPr algn="l" rtl="0">
            <a:defRPr sz="1000"/>
          </a:pPr>
          <a:r>
            <a:rPr lang="en-AU" sz="1600" b="0" i="0" u="none" strike="noStrike" baseline="0">
              <a:solidFill>
                <a:srgbClr val="000000"/>
              </a:solidFill>
              <a:latin typeface="Arial"/>
              <a:cs typeface="Arial"/>
            </a:rPr>
            <a:t>Run</a:t>
          </a:r>
          <a:r>
            <a:rPr lang="en-AU" sz="1200" b="0" i="0" u="none" strike="noStrike" baseline="0">
              <a:solidFill>
                <a:srgbClr val="000000"/>
              </a:solidFill>
              <a:latin typeface="Arial"/>
              <a:cs typeface="Arial"/>
            </a:rPr>
            <a:t> without Bulmer Correction</a:t>
          </a:r>
        </a:p>
      </xdr:txBody>
    </xdr:sp>
    <xdr:clientData/>
  </xdr:twoCellAnchor>
  <xdr:twoCellAnchor>
    <xdr:from>
      <xdr:col>2</xdr:col>
      <xdr:colOff>285750</xdr:colOff>
      <xdr:row>4</xdr:row>
      <xdr:rowOff>0</xdr:rowOff>
    </xdr:from>
    <xdr:to>
      <xdr:col>5</xdr:col>
      <xdr:colOff>533400</xdr:colOff>
      <xdr:row>5</xdr:row>
      <xdr:rowOff>121935</xdr:rowOff>
    </xdr:to>
    <xdr:sp macro="[0]!PseudoBLUP2" textlink="">
      <xdr:nvSpPr>
        <xdr:cNvPr id="4" name="Text Box 1"/>
        <xdr:cNvSpPr txBox="1">
          <a:spLocks noChangeArrowheads="1"/>
        </xdr:cNvSpPr>
      </xdr:nvSpPr>
      <xdr:spPr bwMode="auto">
        <a:xfrm>
          <a:off x="3175907" y="789214"/>
          <a:ext cx="2174422" cy="296107"/>
        </a:xfrm>
        <a:prstGeom prst="rect">
          <a:avLst/>
        </a:prstGeom>
        <a:solidFill>
          <a:schemeClr val="accent3"/>
        </a:solidFill>
        <a:ln w="9525">
          <a:solidFill>
            <a:srgbClr val="000000"/>
          </a:solidFill>
          <a:miter lim="800000"/>
          <a:headEnd/>
          <a:tailEnd/>
        </a:ln>
        <a:scene3d>
          <a:camera prst="orthographicFront"/>
          <a:lightRig rig="freezing" dir="t"/>
        </a:scene3d>
        <a:sp3d>
          <a:bevelT w="95250"/>
        </a:sp3d>
      </xdr:spPr>
      <xdr:txBody>
        <a:bodyPr vertOverflow="clip" wrap="square" lIns="54864" tIns="41148" rIns="0" bIns="0" anchor="t" upright="1"/>
        <a:lstStyle/>
        <a:p>
          <a:pPr algn="l" rtl="0">
            <a:defRPr sz="1000"/>
          </a:pPr>
          <a:r>
            <a:rPr lang="en-AU" sz="1600" b="0" i="0" u="none" strike="noStrike" baseline="0">
              <a:solidFill>
                <a:srgbClr val="000000"/>
              </a:solidFill>
              <a:latin typeface="Arial"/>
              <a:cs typeface="Arial"/>
            </a:rPr>
            <a:t>Run</a:t>
          </a:r>
          <a:r>
            <a:rPr lang="en-AU" sz="1200" b="0" i="0" u="none" strike="noStrike" baseline="0">
              <a:solidFill>
                <a:srgbClr val="000000"/>
              </a:solidFill>
              <a:latin typeface="Arial"/>
              <a:cs typeface="Arial"/>
            </a:rPr>
            <a:t> </a:t>
          </a:r>
          <a:r>
            <a:rPr lang="en-AU" sz="1200" b="0" i="1" u="none" strike="noStrike" baseline="0">
              <a:solidFill>
                <a:srgbClr val="000000"/>
              </a:solidFill>
              <a:latin typeface="Arial"/>
              <a:cs typeface="Arial"/>
            </a:rPr>
            <a:t>with </a:t>
          </a:r>
          <a:r>
            <a:rPr lang="en-AU" sz="1200" b="0" i="0" u="none" strike="noStrike" baseline="0">
              <a:solidFill>
                <a:srgbClr val="000000"/>
              </a:solidFill>
              <a:latin typeface="Arial"/>
              <a:cs typeface="Arial"/>
            </a:rPr>
            <a:t>Bulmer Correction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K57"/>
  <sheetViews>
    <sheetView zoomScale="130" zoomScaleNormal="130" workbookViewId="0">
      <selection activeCell="A20" sqref="A20"/>
    </sheetView>
  </sheetViews>
  <sheetFormatPr defaultRowHeight="13.2" x14ac:dyDescent="0.25"/>
  <cols>
    <col min="1" max="1" width="31.5546875" customWidth="1"/>
    <col min="3" max="3" width="10.6640625" customWidth="1"/>
    <col min="4" max="4" width="9.109375" customWidth="1"/>
    <col min="5" max="5" width="8.33203125" customWidth="1"/>
    <col min="7" max="7" width="9.5546875" customWidth="1"/>
    <col min="8" max="8" width="9.6640625" customWidth="1"/>
    <col min="9" max="9" width="12.33203125" customWidth="1"/>
    <col min="10" max="10" width="9.33203125" bestFit="1" customWidth="1"/>
    <col min="12" max="12" width="9.5546875" bestFit="1" customWidth="1"/>
    <col min="14" max="14" width="9.5546875" bestFit="1" customWidth="1"/>
    <col min="15" max="15" width="6.6640625" customWidth="1"/>
    <col min="16" max="16" width="18.5546875" customWidth="1"/>
    <col min="17" max="17" width="10.88671875" customWidth="1"/>
    <col min="18" max="18" width="14" customWidth="1"/>
    <col min="19" max="33" width="9.44140625" bestFit="1" customWidth="1"/>
  </cols>
  <sheetData>
    <row r="1" spans="1:37" ht="39" customHeight="1" x14ac:dyDescent="0.4">
      <c r="A1" s="26" t="s">
        <v>10</v>
      </c>
      <c r="B1" s="26"/>
      <c r="C1" s="15"/>
      <c r="D1" s="2"/>
      <c r="E1" s="2"/>
      <c r="F1" s="2"/>
      <c r="G1" s="2"/>
      <c r="H1" s="2"/>
      <c r="I1" s="2"/>
      <c r="J1" s="2"/>
      <c r="K1" s="2"/>
      <c r="L1" s="2"/>
      <c r="M1" s="2"/>
      <c r="N1" s="2"/>
      <c r="O1" s="2"/>
      <c r="P1" s="2"/>
    </row>
    <row r="2" spans="1:37" ht="13.8" x14ac:dyDescent="0.3">
      <c r="A2" s="27" t="s">
        <v>9</v>
      </c>
      <c r="B2" s="28"/>
      <c r="C2" s="15"/>
      <c r="D2" s="15"/>
      <c r="E2" s="2"/>
      <c r="F2" s="2"/>
      <c r="G2" s="2"/>
      <c r="H2" s="2"/>
      <c r="I2" s="2"/>
      <c r="J2" s="2"/>
      <c r="K2" s="2"/>
      <c r="L2" s="2"/>
      <c r="M2" s="2"/>
      <c r="N2" s="2"/>
      <c r="O2" s="2"/>
      <c r="P2" s="2"/>
      <c r="U2" s="2"/>
      <c r="V2" s="2"/>
      <c r="W2" s="2"/>
      <c r="X2" s="2"/>
      <c r="Y2" s="2"/>
      <c r="Z2" s="2"/>
      <c r="AA2" s="2"/>
      <c r="AB2" s="2"/>
      <c r="AC2" s="2"/>
      <c r="AD2" s="2"/>
      <c r="AE2" s="2"/>
      <c r="AF2" s="2"/>
      <c r="AG2" s="2"/>
      <c r="AH2" s="2"/>
      <c r="AI2" s="2"/>
      <c r="AJ2" s="2"/>
    </row>
    <row r="3" spans="1:37" ht="13.8" x14ac:dyDescent="0.3">
      <c r="A3" s="29" t="s">
        <v>13</v>
      </c>
      <c r="B3" s="30">
        <v>0.25</v>
      </c>
      <c r="C3" s="17"/>
      <c r="D3" s="15"/>
      <c r="E3" s="2"/>
      <c r="F3" s="1"/>
      <c r="G3" s="2"/>
      <c r="H3" s="1"/>
      <c r="I3" s="2"/>
      <c r="J3" s="1"/>
      <c r="K3" s="2"/>
      <c r="L3" s="1"/>
      <c r="M3" s="2"/>
      <c r="N3" s="1"/>
      <c r="O3" s="2"/>
      <c r="P3" s="2"/>
      <c r="U3" s="2"/>
      <c r="V3" s="2"/>
      <c r="W3" s="2"/>
      <c r="X3" s="2"/>
      <c r="Y3" s="2"/>
      <c r="Z3" s="2"/>
      <c r="AA3" s="2"/>
      <c r="AB3" s="2"/>
      <c r="AC3" s="2"/>
      <c r="AD3" s="2"/>
      <c r="AE3" s="2"/>
      <c r="AF3" s="2"/>
      <c r="AG3" s="2"/>
      <c r="AH3" s="2"/>
      <c r="AI3" s="2"/>
      <c r="AJ3" s="2"/>
    </row>
    <row r="4" spans="1:37" ht="13.8" x14ac:dyDescent="0.3">
      <c r="A4" s="29" t="s">
        <v>14</v>
      </c>
      <c r="B4" s="30">
        <v>0.5</v>
      </c>
      <c r="C4" s="17"/>
      <c r="D4" s="15"/>
      <c r="E4" s="2"/>
      <c r="F4" s="1"/>
      <c r="G4" s="2"/>
      <c r="H4" s="1"/>
      <c r="I4" s="2"/>
      <c r="J4" s="1"/>
      <c r="K4" s="2"/>
      <c r="L4" s="1"/>
      <c r="M4" s="2"/>
      <c r="N4" s="1"/>
      <c r="O4" s="2"/>
      <c r="P4" s="2"/>
      <c r="U4" s="2"/>
      <c r="V4" s="2"/>
      <c r="W4" s="2"/>
      <c r="X4" s="2"/>
      <c r="Y4" s="2"/>
      <c r="Z4" s="2"/>
      <c r="AA4" s="2"/>
      <c r="AB4" s="2"/>
      <c r="AC4" s="2"/>
      <c r="AD4" s="2"/>
      <c r="AE4" s="2"/>
      <c r="AF4" s="2"/>
      <c r="AG4" s="2"/>
      <c r="AH4" s="2"/>
      <c r="AI4" s="2"/>
      <c r="AJ4" s="2"/>
    </row>
    <row r="5" spans="1:37" ht="13.8" x14ac:dyDescent="0.3">
      <c r="A5" s="29" t="s">
        <v>7</v>
      </c>
      <c r="B5" s="30">
        <v>0.15</v>
      </c>
      <c r="C5" s="17"/>
      <c r="D5" s="15"/>
      <c r="E5" s="2"/>
      <c r="F5" s="2"/>
      <c r="G5" s="2"/>
      <c r="H5" s="2"/>
      <c r="I5" s="2"/>
      <c r="J5" s="2"/>
      <c r="K5" s="2"/>
      <c r="L5" s="2"/>
      <c r="M5" s="2"/>
      <c r="N5" s="2"/>
      <c r="O5" s="2"/>
      <c r="P5" s="2"/>
      <c r="U5" s="2"/>
      <c r="V5" s="2"/>
      <c r="W5" s="2"/>
      <c r="X5" s="2"/>
      <c r="Y5" s="2"/>
      <c r="Z5" s="2"/>
      <c r="AA5" s="2"/>
      <c r="AB5" s="2"/>
      <c r="AC5" s="2"/>
      <c r="AD5" s="2"/>
      <c r="AE5" s="2"/>
      <c r="AF5" s="2"/>
      <c r="AG5" s="2"/>
      <c r="AH5" s="2"/>
      <c r="AI5" s="2"/>
      <c r="AJ5" s="2"/>
    </row>
    <row r="6" spans="1:37" ht="14.4" x14ac:dyDescent="0.3">
      <c r="A6" s="31"/>
      <c r="B6" s="32"/>
      <c r="C6" s="2"/>
      <c r="D6" s="2"/>
      <c r="E6" s="2"/>
      <c r="F6" s="2"/>
      <c r="G6" s="2"/>
      <c r="H6" s="2"/>
      <c r="I6" s="77" t="s">
        <v>52</v>
      </c>
      <c r="J6" s="98">
        <v>0.59763282646962479</v>
      </c>
      <c r="K6" s="2"/>
      <c r="L6" s="2"/>
      <c r="M6" s="2"/>
      <c r="N6" s="2"/>
      <c r="O6" s="2"/>
      <c r="P6" s="2"/>
      <c r="Q6" s="2"/>
      <c r="V6" s="2"/>
      <c r="W6" s="2"/>
      <c r="X6" s="2"/>
      <c r="Y6" s="2"/>
      <c r="Z6" s="2"/>
      <c r="AA6" s="2"/>
      <c r="AB6" s="2"/>
      <c r="AC6" s="2"/>
      <c r="AD6" s="2"/>
      <c r="AE6" s="2"/>
      <c r="AF6" s="2"/>
      <c r="AG6" s="2"/>
      <c r="AH6" s="2"/>
      <c r="AI6" s="2"/>
      <c r="AJ6" s="2"/>
      <c r="AK6" s="2"/>
    </row>
    <row r="7" spans="1:37" ht="13.8" x14ac:dyDescent="0.3">
      <c r="A7" s="33"/>
      <c r="B7" s="34" t="s">
        <v>0</v>
      </c>
      <c r="C7" s="2"/>
      <c r="D7" s="78" t="s">
        <v>15</v>
      </c>
      <c r="E7" s="2"/>
      <c r="F7" s="78" t="s">
        <v>8</v>
      </c>
      <c r="G7" s="2"/>
      <c r="H7" s="2"/>
      <c r="I7" s="2"/>
      <c r="J7" s="2"/>
      <c r="K7" s="2"/>
      <c r="L7" s="2"/>
      <c r="M7" s="2"/>
      <c r="N7" s="2"/>
      <c r="O7" s="2"/>
      <c r="P7" s="2"/>
      <c r="Q7" s="2"/>
      <c r="V7" s="2"/>
      <c r="W7" s="2"/>
      <c r="X7" s="2"/>
      <c r="Y7" s="2"/>
      <c r="Z7" s="2"/>
      <c r="AA7" s="2"/>
      <c r="AB7" s="2"/>
      <c r="AC7" s="2"/>
      <c r="AD7" s="2"/>
      <c r="AE7" s="2"/>
      <c r="AF7" s="2"/>
      <c r="AG7" s="2"/>
      <c r="AH7" s="2"/>
      <c r="AI7" s="2"/>
      <c r="AJ7" s="2"/>
      <c r="AK7" s="2"/>
    </row>
    <row r="8" spans="1:37" ht="12.75" customHeight="1" x14ac:dyDescent="0.3">
      <c r="A8" s="27" t="s">
        <v>11</v>
      </c>
      <c r="B8" s="35" t="s">
        <v>12</v>
      </c>
      <c r="C8" s="2"/>
      <c r="D8" s="74" t="s">
        <v>16</v>
      </c>
      <c r="E8" s="2"/>
      <c r="F8" s="74" t="s">
        <v>17</v>
      </c>
      <c r="G8" s="2"/>
      <c r="H8" s="2"/>
      <c r="I8" s="2"/>
      <c r="J8" s="2"/>
      <c r="K8" s="2"/>
      <c r="L8" s="2"/>
      <c r="M8" s="2"/>
      <c r="N8" s="2"/>
      <c r="O8" s="2"/>
      <c r="P8" s="2"/>
      <c r="Q8" s="2"/>
      <c r="V8" s="2"/>
      <c r="W8" s="2"/>
      <c r="X8" s="2"/>
      <c r="Y8" s="2"/>
      <c r="Z8" s="2"/>
      <c r="AA8" s="2"/>
      <c r="AB8" s="2"/>
      <c r="AC8" s="2"/>
      <c r="AD8" s="2"/>
      <c r="AE8" s="2"/>
      <c r="AF8" s="2"/>
      <c r="AG8" s="2"/>
      <c r="AH8" s="2"/>
      <c r="AI8" s="2"/>
      <c r="AJ8" s="2"/>
      <c r="AK8" s="2"/>
    </row>
    <row r="9" spans="1:37" ht="13.8" x14ac:dyDescent="0.3">
      <c r="A9" s="29" t="s">
        <v>1</v>
      </c>
      <c r="B9" s="36">
        <v>1</v>
      </c>
      <c r="C9" s="2"/>
      <c r="D9" s="75">
        <v>0.20231703725001554</v>
      </c>
      <c r="E9" s="83" t="s">
        <v>19</v>
      </c>
      <c r="F9" s="91">
        <v>0.22366946272655719</v>
      </c>
      <c r="G9" s="2"/>
      <c r="H9" s="2"/>
      <c r="I9" s="2"/>
      <c r="J9" s="2"/>
      <c r="K9" s="2"/>
      <c r="L9" s="2"/>
      <c r="M9" s="2"/>
      <c r="N9" s="2"/>
      <c r="O9" s="2"/>
      <c r="P9" s="2"/>
      <c r="Q9" s="2"/>
      <c r="V9" s="2"/>
      <c r="W9" s="2"/>
      <c r="X9" s="2"/>
      <c r="Y9" s="2"/>
      <c r="Z9" s="2"/>
      <c r="AA9" s="2"/>
      <c r="AB9" s="2"/>
      <c r="AC9" s="2"/>
      <c r="AD9" s="2"/>
      <c r="AE9" s="2"/>
      <c r="AF9" s="2"/>
      <c r="AG9" s="2"/>
      <c r="AH9" s="2"/>
      <c r="AI9" s="2"/>
      <c r="AJ9" s="2"/>
      <c r="AK9" s="2"/>
    </row>
    <row r="10" spans="1:37" ht="13.8" x14ac:dyDescent="0.3">
      <c r="A10" s="29" t="s">
        <v>2</v>
      </c>
      <c r="B10" s="36">
        <v>1</v>
      </c>
      <c r="C10" s="2"/>
      <c r="D10" s="75">
        <v>9.2234559307106265E-2</v>
      </c>
      <c r="E10" s="83" t="s">
        <v>20</v>
      </c>
      <c r="F10" s="91">
        <v>4.7233782340228236E-2</v>
      </c>
      <c r="G10" s="2"/>
      <c r="H10" s="2"/>
      <c r="I10" s="2"/>
      <c r="J10" s="2"/>
      <c r="K10" s="2"/>
      <c r="L10" s="2"/>
      <c r="M10" s="2"/>
      <c r="N10" s="2"/>
      <c r="O10" s="2"/>
      <c r="P10" s="2"/>
      <c r="Q10" s="2"/>
      <c r="V10" s="2"/>
      <c r="W10" s="2"/>
      <c r="X10" s="2"/>
      <c r="Y10" s="2"/>
      <c r="Z10" s="2"/>
      <c r="AA10" s="2"/>
      <c r="AB10" s="2"/>
      <c r="AC10" s="2"/>
      <c r="AD10" s="2"/>
      <c r="AE10" s="2"/>
      <c r="AF10" s="2"/>
      <c r="AG10" s="2"/>
      <c r="AH10" s="2"/>
      <c r="AI10" s="2"/>
      <c r="AJ10" s="2"/>
      <c r="AK10" s="2"/>
    </row>
    <row r="11" spans="1:37" ht="13.8" x14ac:dyDescent="0.3">
      <c r="A11" s="29" t="s">
        <v>3</v>
      </c>
      <c r="B11" s="36">
        <v>1</v>
      </c>
      <c r="C11" s="2"/>
      <c r="D11" s="75">
        <v>7.0427789593517212E-2</v>
      </c>
      <c r="E11" s="83" t="s">
        <v>18</v>
      </c>
      <c r="F11" s="91">
        <v>2.5623648752747252E-2</v>
      </c>
      <c r="G11" s="2"/>
      <c r="H11" s="7"/>
      <c r="I11" s="70"/>
      <c r="J11" s="70"/>
      <c r="K11" s="2"/>
      <c r="L11" s="2"/>
      <c r="M11" s="2"/>
      <c r="N11" s="2"/>
      <c r="O11" s="2"/>
      <c r="P11" s="2"/>
      <c r="Q11" s="2"/>
      <c r="V11" s="2"/>
      <c r="W11" s="2"/>
      <c r="X11" s="2"/>
      <c r="Y11" s="2"/>
      <c r="Z11" s="2"/>
      <c r="AA11" s="2"/>
      <c r="AB11" s="2"/>
      <c r="AC11" s="2"/>
      <c r="AD11" s="2"/>
      <c r="AE11" s="2"/>
      <c r="AF11" s="2"/>
      <c r="AG11" s="2"/>
      <c r="AH11" s="2"/>
      <c r="AI11" s="2"/>
      <c r="AJ11" s="2"/>
      <c r="AK11" s="2"/>
    </row>
    <row r="12" spans="1:37" ht="13.8" x14ac:dyDescent="0.3">
      <c r="A12" s="29" t="s">
        <v>79</v>
      </c>
      <c r="B12" s="36">
        <v>2</v>
      </c>
      <c r="C12" s="2"/>
      <c r="D12" s="75">
        <v>5.9806488293134563E-2</v>
      </c>
      <c r="E12" s="83" t="s">
        <v>21</v>
      </c>
      <c r="F12" s="91">
        <v>1.0847220721997286E-2</v>
      </c>
      <c r="G12" s="2"/>
      <c r="H12" s="2"/>
      <c r="I12" s="73" t="s">
        <v>45</v>
      </c>
      <c r="J12" s="71">
        <v>0.76589613756201402</v>
      </c>
      <c r="K12" s="2"/>
      <c r="L12" s="2"/>
      <c r="M12" s="2"/>
      <c r="N12" s="2"/>
      <c r="O12" s="2"/>
      <c r="P12" s="2"/>
      <c r="Q12" s="2"/>
      <c r="V12" s="2"/>
      <c r="W12" s="2"/>
      <c r="X12" s="2"/>
      <c r="Y12" s="2"/>
      <c r="Z12" s="2"/>
      <c r="AA12" s="2"/>
      <c r="AB12" s="2"/>
      <c r="AC12" s="2"/>
      <c r="AD12" s="2"/>
      <c r="AE12" s="2"/>
      <c r="AF12" s="2"/>
      <c r="AG12" s="2"/>
      <c r="AH12" s="2"/>
      <c r="AI12" s="2"/>
      <c r="AJ12" s="2"/>
      <c r="AK12" s="2"/>
    </row>
    <row r="13" spans="1:37" ht="13.8" x14ac:dyDescent="0.3">
      <c r="A13" s="29" t="s">
        <v>6</v>
      </c>
      <c r="B13" s="36">
        <v>9</v>
      </c>
      <c r="C13" s="2"/>
      <c r="D13" s="75">
        <v>0.17445415770871234</v>
      </c>
      <c r="E13" s="83" t="s">
        <v>22</v>
      </c>
      <c r="F13" s="91">
        <v>3.3580794065726116E-2</v>
      </c>
      <c r="G13" s="2"/>
      <c r="H13" s="2"/>
      <c r="I13" s="73" t="s">
        <v>46</v>
      </c>
      <c r="J13" s="72">
        <v>0.33814729422395506</v>
      </c>
      <c r="K13" s="2" t="s">
        <v>0</v>
      </c>
      <c r="L13" s="2" t="s">
        <v>0</v>
      </c>
      <c r="M13" s="2" t="s">
        <v>0</v>
      </c>
      <c r="N13" s="2" t="s">
        <v>0</v>
      </c>
      <c r="O13" s="2" t="s">
        <v>0</v>
      </c>
      <c r="P13" s="2" t="s">
        <v>0</v>
      </c>
      <c r="Q13" s="2"/>
      <c r="V13" s="2"/>
      <c r="W13" s="2"/>
      <c r="X13" s="2"/>
      <c r="Y13" s="2"/>
      <c r="Z13" s="2"/>
      <c r="AA13" s="2"/>
      <c r="AB13" s="2"/>
      <c r="AC13" s="2"/>
      <c r="AD13" s="2"/>
      <c r="AE13" s="2"/>
      <c r="AF13" s="2"/>
      <c r="AG13" s="2"/>
      <c r="AH13" s="2"/>
      <c r="AI13" s="2"/>
      <c r="AJ13" s="2"/>
      <c r="AK13" s="2"/>
    </row>
    <row r="14" spans="1:37" ht="13.8" x14ac:dyDescent="0.3">
      <c r="A14" s="37" t="s">
        <v>5</v>
      </c>
      <c r="B14" s="38">
        <v>0</v>
      </c>
      <c r="C14" s="2"/>
      <c r="D14" s="76" t="s">
        <v>43</v>
      </c>
      <c r="E14" s="83" t="s">
        <v>43</v>
      </c>
      <c r="F14" s="92" t="s">
        <v>43</v>
      </c>
      <c r="G14" s="2"/>
      <c r="H14" s="2"/>
      <c r="I14" s="2"/>
      <c r="J14" s="2"/>
      <c r="K14" s="2"/>
      <c r="L14" s="2"/>
      <c r="M14" s="2"/>
      <c r="N14" s="2"/>
      <c r="O14" s="2"/>
      <c r="P14" s="2"/>
      <c r="U14" s="2"/>
      <c r="V14" s="2"/>
      <c r="W14" s="2"/>
      <c r="X14" s="2"/>
      <c r="Y14" s="2"/>
      <c r="Z14" s="2"/>
      <c r="AA14" s="2"/>
      <c r="AB14" s="2"/>
      <c r="AC14" s="2"/>
      <c r="AD14" s="2"/>
      <c r="AE14" s="2"/>
      <c r="AF14" s="2"/>
      <c r="AG14" s="2"/>
      <c r="AH14" s="2"/>
      <c r="AI14" s="2"/>
      <c r="AJ14" s="2"/>
    </row>
    <row r="15" spans="1:37" x14ac:dyDescent="0.25">
      <c r="A15" s="2"/>
      <c r="B15" s="2"/>
      <c r="C15" s="2"/>
      <c r="D15" s="2"/>
      <c r="E15" s="2"/>
      <c r="F15" s="2"/>
      <c r="G15" s="2"/>
      <c r="H15" s="2"/>
      <c r="I15" s="2"/>
      <c r="J15" s="2"/>
      <c r="K15" s="2"/>
      <c r="L15" s="2"/>
      <c r="M15" s="2"/>
      <c r="N15" s="2"/>
      <c r="O15" s="2"/>
      <c r="P15" s="2"/>
      <c r="U15" s="2"/>
      <c r="V15" s="2"/>
      <c r="W15" s="2"/>
      <c r="X15" s="2"/>
      <c r="Y15" s="2"/>
      <c r="Z15" s="2"/>
      <c r="AA15" s="2"/>
      <c r="AB15" s="2"/>
      <c r="AC15" s="2"/>
      <c r="AD15" s="2"/>
      <c r="AE15" s="2"/>
      <c r="AF15" s="2"/>
      <c r="AG15" s="2"/>
      <c r="AH15" s="2"/>
      <c r="AI15" s="2"/>
      <c r="AJ15" s="2"/>
    </row>
    <row r="16" spans="1:37" ht="13.8" x14ac:dyDescent="0.3">
      <c r="A16" s="2"/>
      <c r="B16" s="2"/>
      <c r="C16" s="17"/>
      <c r="D16" s="17"/>
      <c r="E16" s="2" t="s">
        <v>0</v>
      </c>
      <c r="F16" s="2" t="s">
        <v>0</v>
      </c>
      <c r="G16" s="2" t="s">
        <v>0</v>
      </c>
      <c r="H16" s="2" t="s">
        <v>0</v>
      </c>
      <c r="I16" s="2" t="s">
        <v>0</v>
      </c>
      <c r="J16" s="2" t="s">
        <v>0</v>
      </c>
      <c r="K16" s="7"/>
      <c r="L16" s="8"/>
      <c r="M16" s="7"/>
      <c r="N16" s="2"/>
      <c r="O16" s="2"/>
      <c r="P16" s="15"/>
      <c r="Q16" s="15"/>
      <c r="R16" s="15"/>
      <c r="S16" s="2"/>
      <c r="T16" s="2"/>
      <c r="U16" s="2"/>
      <c r="V16" s="2"/>
      <c r="W16" s="2"/>
      <c r="X16" s="2"/>
      <c r="Y16" s="2"/>
      <c r="Z16" s="2"/>
      <c r="AA16" s="2"/>
      <c r="AB16" s="2"/>
      <c r="AC16" s="2"/>
      <c r="AD16" s="2"/>
      <c r="AE16" s="2"/>
      <c r="AF16" s="2"/>
      <c r="AG16" s="2"/>
      <c r="AH16" s="2"/>
      <c r="AI16" s="2"/>
      <c r="AJ16" s="2"/>
    </row>
    <row r="17" spans="1:36" ht="17.399999999999999" x14ac:dyDescent="0.3">
      <c r="A17" s="2"/>
      <c r="B17" s="2"/>
      <c r="C17" s="44" t="s">
        <v>26</v>
      </c>
      <c r="D17" s="2"/>
      <c r="E17" s="2"/>
      <c r="F17" s="2"/>
      <c r="G17" s="2"/>
      <c r="H17" s="2"/>
      <c r="I17" s="2"/>
      <c r="J17" s="45" t="s">
        <v>32</v>
      </c>
      <c r="K17" s="2"/>
      <c r="L17" s="45" t="s">
        <v>33</v>
      </c>
      <c r="M17" s="2"/>
      <c r="N17" s="43" t="s">
        <v>34</v>
      </c>
      <c r="O17" s="2"/>
      <c r="P17" s="15"/>
      <c r="Q17" s="15"/>
      <c r="R17" s="15"/>
      <c r="S17" s="2"/>
      <c r="T17" s="2"/>
      <c r="U17" s="2"/>
      <c r="V17" s="2"/>
      <c r="W17" s="2"/>
      <c r="X17" s="2"/>
      <c r="Y17" s="2"/>
      <c r="Z17" s="2"/>
      <c r="AA17" s="2"/>
      <c r="AB17" s="2"/>
      <c r="AC17" s="2"/>
      <c r="AD17" s="2"/>
      <c r="AE17" s="2"/>
      <c r="AF17" s="2"/>
      <c r="AG17" s="2"/>
      <c r="AH17" s="2"/>
      <c r="AI17" s="2"/>
      <c r="AJ17" s="2"/>
    </row>
    <row r="18" spans="1:36" ht="13.8" x14ac:dyDescent="0.3">
      <c r="A18" s="2"/>
      <c r="B18" s="46" t="s">
        <v>19</v>
      </c>
      <c r="C18" s="63">
        <v>1</v>
      </c>
      <c r="D18" s="64">
        <v>0.125</v>
      </c>
      <c r="E18" s="64">
        <v>0.125</v>
      </c>
      <c r="F18" s="64">
        <v>0.27500000000000002</v>
      </c>
      <c r="G18" s="64">
        <v>6.25E-2</v>
      </c>
      <c r="H18" s="64"/>
      <c r="I18" s="79"/>
      <c r="J18" s="65">
        <v>0.25</v>
      </c>
      <c r="K18" s="14" t="s">
        <v>19</v>
      </c>
      <c r="L18" s="65">
        <v>0.20231703725001554</v>
      </c>
      <c r="M18" s="2"/>
      <c r="N18" s="66">
        <v>0.59763282646962479</v>
      </c>
      <c r="O18" s="2"/>
      <c r="P18" s="15"/>
      <c r="Q18" s="15"/>
      <c r="R18" s="15"/>
      <c r="S18" s="2"/>
      <c r="T18" s="2"/>
      <c r="U18" s="2"/>
      <c r="V18" s="2"/>
      <c r="W18" s="2"/>
      <c r="X18" s="2"/>
      <c r="Y18" s="2"/>
      <c r="Z18" s="2"/>
      <c r="AA18" s="2"/>
      <c r="AB18" s="2"/>
      <c r="AC18" s="2"/>
      <c r="AD18" s="2"/>
      <c r="AE18" s="2"/>
      <c r="AF18" s="2"/>
      <c r="AG18" s="2"/>
      <c r="AH18" s="2"/>
      <c r="AI18" s="2"/>
      <c r="AJ18" s="2"/>
    </row>
    <row r="19" spans="1:36" ht="13.8" x14ac:dyDescent="0.3">
      <c r="A19" s="2"/>
      <c r="B19" s="47" t="s">
        <v>20</v>
      </c>
      <c r="C19" s="21">
        <v>0.125</v>
      </c>
      <c r="D19" s="22">
        <v>1</v>
      </c>
      <c r="E19" s="22">
        <v>0</v>
      </c>
      <c r="F19" s="22">
        <v>0.125</v>
      </c>
      <c r="G19" s="22">
        <v>0</v>
      </c>
      <c r="H19" s="22"/>
      <c r="I19" s="23"/>
      <c r="J19" s="13">
        <v>0.125</v>
      </c>
      <c r="K19" s="17" t="s">
        <v>20</v>
      </c>
      <c r="L19" s="13">
        <v>9.2234559307106265E-2</v>
      </c>
      <c r="M19" s="2"/>
      <c r="N19" s="2"/>
      <c r="O19" s="2"/>
      <c r="P19" s="15"/>
      <c r="Q19" s="15"/>
      <c r="R19" s="15"/>
      <c r="S19" s="2"/>
      <c r="T19" s="2"/>
      <c r="U19" s="2"/>
      <c r="V19" s="2"/>
      <c r="W19" s="2"/>
      <c r="X19" s="2"/>
      <c r="Y19" s="2"/>
      <c r="Z19" s="2"/>
      <c r="AA19" s="2"/>
      <c r="AB19" s="2"/>
      <c r="AC19" s="2"/>
      <c r="AD19" s="2"/>
      <c r="AE19" s="2"/>
      <c r="AF19" s="2"/>
      <c r="AG19" s="2"/>
      <c r="AH19" s="2"/>
      <c r="AI19" s="2"/>
      <c r="AJ19" s="2"/>
    </row>
    <row r="20" spans="1:36" ht="13.8" x14ac:dyDescent="0.3">
      <c r="A20" s="2"/>
      <c r="B20" s="47" t="s">
        <v>18</v>
      </c>
      <c r="C20" s="21">
        <v>0.125</v>
      </c>
      <c r="D20" s="22">
        <v>0</v>
      </c>
      <c r="E20" s="22">
        <v>1</v>
      </c>
      <c r="F20" s="22">
        <v>0.125</v>
      </c>
      <c r="G20" s="22">
        <v>0.125</v>
      </c>
      <c r="H20" s="22"/>
      <c r="I20" s="23"/>
      <c r="J20" s="16">
        <v>0.125</v>
      </c>
      <c r="K20" s="17" t="s">
        <v>18</v>
      </c>
      <c r="L20" s="13">
        <v>7.0427789593517212E-2</v>
      </c>
      <c r="M20" s="2"/>
      <c r="N20" s="2"/>
      <c r="O20" s="2"/>
      <c r="P20" s="2"/>
      <c r="Q20" s="2"/>
      <c r="R20" s="2"/>
      <c r="S20" s="2"/>
      <c r="T20" s="2"/>
      <c r="U20" s="2"/>
      <c r="V20" s="2"/>
      <c r="W20" s="2"/>
      <c r="X20" s="2"/>
      <c r="Y20" s="2"/>
      <c r="Z20" s="2"/>
      <c r="AA20" s="2"/>
      <c r="AB20" s="2"/>
      <c r="AC20" s="2"/>
      <c r="AD20" s="2"/>
      <c r="AE20" s="2"/>
      <c r="AF20" s="2"/>
      <c r="AG20" s="2"/>
      <c r="AH20" s="2"/>
      <c r="AI20" s="2"/>
      <c r="AJ20" s="2"/>
    </row>
    <row r="21" spans="1:36" ht="13.8" x14ac:dyDescent="0.3">
      <c r="A21" s="2"/>
      <c r="B21" s="47" t="s">
        <v>21</v>
      </c>
      <c r="C21" s="21">
        <v>0.27500000000000002</v>
      </c>
      <c r="D21" s="22">
        <v>0.125</v>
      </c>
      <c r="E21" s="22">
        <v>0.125</v>
      </c>
      <c r="F21" s="22">
        <v>0.63749999999999996</v>
      </c>
      <c r="G21" s="22">
        <v>6.25E-2</v>
      </c>
      <c r="H21" s="22"/>
      <c r="I21" s="23"/>
      <c r="J21" s="16">
        <v>0.125</v>
      </c>
      <c r="K21" s="17" t="s">
        <v>21</v>
      </c>
      <c r="L21" s="13">
        <v>5.9806488293134563E-2</v>
      </c>
      <c r="M21" s="2"/>
      <c r="N21" s="2"/>
      <c r="O21" s="2"/>
      <c r="P21" s="2"/>
      <c r="Q21" s="2"/>
      <c r="R21" s="2"/>
      <c r="S21" s="2"/>
      <c r="T21" s="2"/>
      <c r="U21" s="2"/>
      <c r="V21" s="2"/>
      <c r="W21" s="2"/>
      <c r="X21" s="2"/>
      <c r="Y21" s="2"/>
      <c r="Z21" s="2"/>
      <c r="AA21" s="2"/>
      <c r="AB21" s="2"/>
      <c r="AC21" s="2"/>
      <c r="AD21" s="2"/>
      <c r="AE21" s="2"/>
      <c r="AF21" s="2"/>
      <c r="AG21" s="2"/>
      <c r="AH21" s="2"/>
      <c r="AI21" s="2"/>
      <c r="AJ21" s="2"/>
    </row>
    <row r="22" spans="1:36" ht="13.8" x14ac:dyDescent="0.3">
      <c r="A22" s="2"/>
      <c r="B22" s="48" t="s">
        <v>22</v>
      </c>
      <c r="C22" s="21">
        <v>6.25E-2</v>
      </c>
      <c r="D22" s="22">
        <v>0</v>
      </c>
      <c r="E22" s="22">
        <v>0.125</v>
      </c>
      <c r="F22" s="22">
        <v>6.25E-2</v>
      </c>
      <c r="G22" s="22">
        <v>0.21388888888888891</v>
      </c>
      <c r="H22" s="22"/>
      <c r="I22" s="23"/>
      <c r="J22" s="16">
        <v>6.25E-2</v>
      </c>
      <c r="K22" s="17" t="s">
        <v>22</v>
      </c>
      <c r="L22" s="13">
        <v>0.17445415770871234</v>
      </c>
      <c r="M22" s="2"/>
      <c r="N22" s="2"/>
      <c r="O22" s="2"/>
      <c r="P22" s="2"/>
      <c r="Q22" s="2"/>
      <c r="R22" s="2"/>
      <c r="S22" s="2"/>
      <c r="T22" s="2"/>
      <c r="U22" s="2"/>
      <c r="V22" s="2"/>
      <c r="W22" s="2"/>
      <c r="X22" s="2"/>
      <c r="Y22" s="2"/>
      <c r="Z22" s="2"/>
      <c r="AA22" s="2"/>
      <c r="AB22" s="2"/>
      <c r="AC22" s="2"/>
      <c r="AD22" s="2"/>
      <c r="AE22" s="2"/>
      <c r="AF22" s="2"/>
    </row>
    <row r="23" spans="1:36" ht="13.8" x14ac:dyDescent="0.3">
      <c r="A23" s="2"/>
      <c r="B23" s="48"/>
      <c r="C23" s="21"/>
      <c r="D23" s="22"/>
      <c r="E23" s="22"/>
      <c r="F23" s="22"/>
      <c r="G23" s="22"/>
      <c r="H23" s="22"/>
      <c r="I23" s="23"/>
      <c r="J23" s="16"/>
      <c r="K23" s="17"/>
      <c r="L23" s="13"/>
      <c r="M23" s="2"/>
      <c r="N23" s="2"/>
      <c r="O23" s="2"/>
      <c r="P23" s="2"/>
      <c r="Q23" s="2"/>
      <c r="R23" s="2"/>
      <c r="S23" s="2"/>
      <c r="T23" s="2"/>
      <c r="U23" s="2"/>
      <c r="V23" s="2"/>
      <c r="W23" s="2"/>
      <c r="X23" s="2"/>
      <c r="Y23" s="2"/>
      <c r="Z23" s="2"/>
      <c r="AA23" s="2"/>
      <c r="AB23" s="2"/>
      <c r="AC23" s="2"/>
      <c r="AD23" s="2"/>
      <c r="AE23" s="2"/>
      <c r="AF23" s="2"/>
    </row>
    <row r="24" spans="1:36" ht="13.8" x14ac:dyDescent="0.3">
      <c r="A24" s="2"/>
      <c r="B24" s="48"/>
      <c r="C24" s="24"/>
      <c r="D24" s="12"/>
      <c r="E24" s="12"/>
      <c r="F24" s="12"/>
      <c r="G24" s="12"/>
      <c r="H24" s="12"/>
      <c r="I24" s="25"/>
      <c r="J24" s="19"/>
      <c r="K24" s="17"/>
      <c r="L24" s="20"/>
      <c r="M24" s="2"/>
      <c r="N24" s="2"/>
      <c r="O24" s="2"/>
      <c r="P24" s="2"/>
      <c r="Q24" s="2"/>
      <c r="R24" s="2"/>
      <c r="S24" s="2"/>
      <c r="T24" s="2"/>
      <c r="U24" s="2"/>
      <c r="V24" s="2"/>
      <c r="W24" s="2"/>
      <c r="X24" s="2"/>
      <c r="Y24" s="2"/>
      <c r="Z24" s="2"/>
      <c r="AA24" s="2"/>
      <c r="AB24" s="2"/>
      <c r="AC24" s="2"/>
      <c r="AD24" s="2"/>
      <c r="AE24" s="2"/>
      <c r="AF24" s="2"/>
    </row>
    <row r="25" spans="1:36" x14ac:dyDescent="0.25">
      <c r="A25" s="2"/>
      <c r="B25" s="48"/>
      <c r="C25" s="6"/>
      <c r="D25" s="6"/>
      <c r="E25" s="6"/>
      <c r="F25" s="6"/>
      <c r="G25" s="6"/>
      <c r="H25" s="2"/>
      <c r="I25" s="2"/>
      <c r="J25" s="2"/>
      <c r="K25" s="2"/>
      <c r="L25" s="2"/>
      <c r="M25" s="2"/>
      <c r="N25" s="2"/>
      <c r="O25" s="2"/>
      <c r="P25" s="2"/>
      <c r="Q25" s="2"/>
      <c r="R25" s="2"/>
      <c r="S25" s="2"/>
      <c r="T25" s="2"/>
      <c r="U25" s="2"/>
      <c r="V25" s="2"/>
      <c r="W25" s="2"/>
      <c r="X25" s="2"/>
      <c r="Y25" s="2"/>
      <c r="Z25" s="2"/>
      <c r="AA25" s="2"/>
      <c r="AB25" s="2"/>
      <c r="AC25" s="2"/>
      <c r="AD25" s="2"/>
      <c r="AE25" s="2"/>
      <c r="AF25" s="2"/>
    </row>
    <row r="26" spans="1:36" x14ac:dyDescent="0.25">
      <c r="A26" s="2"/>
      <c r="B26" s="48"/>
      <c r="C26" s="54" t="s">
        <v>38</v>
      </c>
      <c r="D26" s="6"/>
      <c r="E26" s="6"/>
      <c r="F26" s="6"/>
      <c r="G26" s="6"/>
      <c r="H26" s="2"/>
      <c r="I26" s="2"/>
      <c r="J26" s="2"/>
      <c r="K26" s="2"/>
      <c r="L26" s="2"/>
      <c r="M26" s="2"/>
      <c r="N26" s="2"/>
      <c r="O26" s="2"/>
      <c r="P26" s="2"/>
      <c r="Q26" s="2"/>
      <c r="R26" s="2"/>
      <c r="S26" s="2"/>
      <c r="T26" s="2"/>
      <c r="U26" s="2"/>
      <c r="V26" s="2"/>
      <c r="W26" s="2"/>
      <c r="X26" s="2"/>
      <c r="Y26" s="2"/>
      <c r="Z26" s="2"/>
      <c r="AA26" s="2"/>
      <c r="AB26" s="2"/>
      <c r="AC26" s="2"/>
      <c r="AD26" s="2"/>
      <c r="AE26" s="2"/>
      <c r="AF26" s="2"/>
    </row>
    <row r="27" spans="1:36" ht="13.8" x14ac:dyDescent="0.3">
      <c r="A27" s="50" t="s">
        <v>35</v>
      </c>
      <c r="B27" s="48" t="s">
        <v>19</v>
      </c>
      <c r="C27" s="63">
        <v>0.27500000000000002</v>
      </c>
      <c r="D27" s="64">
        <v>0.125</v>
      </c>
      <c r="E27" s="64">
        <v>0.125</v>
      </c>
      <c r="F27" s="64">
        <v>0.63749999999999996</v>
      </c>
      <c r="G27" s="64">
        <v>6.25E-2</v>
      </c>
      <c r="H27" s="64"/>
      <c r="I27" s="79"/>
      <c r="J27" s="2"/>
      <c r="K27" s="2"/>
      <c r="L27" s="2"/>
      <c r="M27" s="2"/>
      <c r="N27" s="2"/>
      <c r="O27" s="2"/>
      <c r="P27" s="2"/>
      <c r="Q27" s="2"/>
      <c r="R27" s="2"/>
      <c r="S27" s="2"/>
      <c r="T27" s="2"/>
      <c r="U27" s="2"/>
      <c r="V27" s="2"/>
      <c r="W27" s="2"/>
      <c r="X27" s="2"/>
      <c r="Y27" s="2"/>
      <c r="Z27" s="2"/>
      <c r="AA27" s="2"/>
      <c r="AB27" s="2"/>
      <c r="AC27" s="2"/>
      <c r="AD27" s="2"/>
      <c r="AE27" s="2"/>
      <c r="AF27" s="2"/>
    </row>
    <row r="28" spans="1:36" ht="13.8" x14ac:dyDescent="0.3">
      <c r="A28" s="51">
        <v>4</v>
      </c>
      <c r="B28" s="48" t="s">
        <v>20</v>
      </c>
      <c r="C28" s="21">
        <v>0.125</v>
      </c>
      <c r="D28" s="22">
        <v>1</v>
      </c>
      <c r="E28" s="22">
        <v>0</v>
      </c>
      <c r="F28" s="22">
        <v>0.125</v>
      </c>
      <c r="G28" s="22">
        <v>0</v>
      </c>
      <c r="H28" s="22"/>
      <c r="I28" s="23"/>
      <c r="J28" s="2"/>
      <c r="K28" s="2"/>
      <c r="L28" s="2"/>
      <c r="M28" s="2"/>
      <c r="N28" s="2"/>
      <c r="O28" s="2"/>
      <c r="P28" s="2"/>
      <c r="Q28" s="2"/>
      <c r="R28" s="2"/>
      <c r="S28" s="2"/>
      <c r="T28" s="2"/>
      <c r="U28" s="2"/>
      <c r="V28" s="2"/>
      <c r="W28" s="2"/>
      <c r="X28" s="2"/>
      <c r="Y28" s="2"/>
      <c r="Z28" s="2"/>
      <c r="AA28" s="2"/>
      <c r="AB28" s="2"/>
      <c r="AC28" s="2"/>
      <c r="AD28" s="2"/>
      <c r="AE28" s="2"/>
      <c r="AF28" s="2"/>
    </row>
    <row r="29" spans="1:36" ht="13.8" x14ac:dyDescent="0.3">
      <c r="A29" s="51" t="s">
        <v>36</v>
      </c>
      <c r="B29" s="48" t="s">
        <v>18</v>
      </c>
      <c r="C29" s="21">
        <v>0.125</v>
      </c>
      <c r="D29" s="22">
        <v>0</v>
      </c>
      <c r="E29" s="22">
        <v>1</v>
      </c>
      <c r="F29" s="22">
        <v>0.125</v>
      </c>
      <c r="G29" s="22">
        <v>0.125</v>
      </c>
      <c r="H29" s="22"/>
      <c r="I29" s="23"/>
      <c r="J29" s="2"/>
      <c r="K29" s="2"/>
      <c r="L29" s="2"/>
      <c r="M29" s="2"/>
      <c r="N29" s="2"/>
      <c r="O29" s="2"/>
      <c r="P29" s="2"/>
      <c r="Q29" s="2"/>
      <c r="R29" s="2"/>
      <c r="S29" s="2"/>
      <c r="T29" s="2"/>
      <c r="U29" s="2"/>
      <c r="V29" s="2"/>
      <c r="W29" s="2"/>
      <c r="X29" s="2"/>
      <c r="Y29" s="2"/>
      <c r="Z29" s="2"/>
      <c r="AA29" s="2"/>
      <c r="AB29" s="2"/>
      <c r="AC29" s="2"/>
      <c r="AD29" s="2"/>
      <c r="AE29" s="2"/>
      <c r="AF29" s="2"/>
    </row>
    <row r="30" spans="1:36" ht="13.8" x14ac:dyDescent="0.3">
      <c r="A30" s="51">
        <v>3</v>
      </c>
      <c r="B30" s="48" t="s">
        <v>21</v>
      </c>
      <c r="C30" s="21">
        <v>0.63749999999999996</v>
      </c>
      <c r="D30" s="22">
        <v>0.125</v>
      </c>
      <c r="E30" s="22">
        <v>0.125</v>
      </c>
      <c r="F30" s="22">
        <v>0.63749999999999996</v>
      </c>
      <c r="G30" s="22">
        <v>6.25E-2</v>
      </c>
      <c r="H30" s="22"/>
      <c r="I30" s="23"/>
      <c r="J30" s="2"/>
      <c r="K30" s="4"/>
      <c r="L30" s="2"/>
      <c r="M30" s="2"/>
      <c r="N30" s="2"/>
      <c r="O30" s="2"/>
      <c r="P30" s="2"/>
      <c r="Q30" s="2"/>
      <c r="R30" s="2"/>
      <c r="S30" s="2"/>
      <c r="T30" s="2"/>
      <c r="U30" s="2"/>
      <c r="V30" s="2"/>
      <c r="W30" s="2"/>
      <c r="X30" s="2"/>
      <c r="Y30" s="2"/>
      <c r="Z30" s="2"/>
      <c r="AA30" s="2"/>
      <c r="AB30" s="2"/>
      <c r="AC30" s="2"/>
      <c r="AD30" s="2"/>
      <c r="AE30" s="2"/>
      <c r="AF30" s="2"/>
    </row>
    <row r="31" spans="1:36" ht="13.8" x14ac:dyDescent="0.3">
      <c r="A31" s="51"/>
      <c r="B31" s="48" t="s">
        <v>22</v>
      </c>
      <c r="C31" s="21">
        <v>6.25E-2</v>
      </c>
      <c r="D31" s="22">
        <v>0</v>
      </c>
      <c r="E31" s="22">
        <v>0.125</v>
      </c>
      <c r="F31" s="22">
        <v>6.25E-2</v>
      </c>
      <c r="G31" s="22">
        <v>0.21388888888888891</v>
      </c>
      <c r="H31" s="22"/>
      <c r="I31" s="23"/>
      <c r="J31" s="2"/>
      <c r="K31" s="2"/>
      <c r="L31" s="5"/>
      <c r="M31" s="2"/>
      <c r="N31" s="2"/>
      <c r="O31" s="2"/>
      <c r="P31" s="2"/>
      <c r="Q31" s="2"/>
      <c r="R31" s="2"/>
      <c r="S31" s="2"/>
      <c r="T31" s="2"/>
      <c r="U31" s="2"/>
      <c r="V31" s="2"/>
      <c r="W31" s="2"/>
      <c r="X31" s="2"/>
      <c r="Y31" s="2"/>
      <c r="Z31" s="2"/>
      <c r="AA31" s="2"/>
      <c r="AB31" s="2"/>
      <c r="AC31" s="2"/>
      <c r="AD31" s="2"/>
      <c r="AE31" s="2"/>
      <c r="AF31" s="2"/>
    </row>
    <row r="32" spans="1:36" ht="13.8" x14ac:dyDescent="0.3">
      <c r="A32" s="52" t="s">
        <v>31</v>
      </c>
      <c r="B32" s="48"/>
      <c r="C32" s="21"/>
      <c r="D32" s="22"/>
      <c r="E32" s="22"/>
      <c r="F32" s="22"/>
      <c r="G32" s="22"/>
      <c r="H32" s="22"/>
      <c r="I32" s="23"/>
      <c r="J32" s="2"/>
      <c r="K32" s="2"/>
      <c r="L32" s="5"/>
      <c r="M32" s="2"/>
      <c r="N32" s="2"/>
      <c r="O32" s="2"/>
      <c r="P32" s="2"/>
      <c r="Q32" s="2"/>
      <c r="R32" s="2"/>
      <c r="S32" s="2"/>
      <c r="T32" s="2"/>
      <c r="U32" s="2"/>
      <c r="V32" s="2"/>
      <c r="W32" s="2"/>
      <c r="X32" s="2"/>
      <c r="Y32" s="2"/>
      <c r="Z32" s="2"/>
      <c r="AA32" s="2"/>
      <c r="AB32" s="2"/>
      <c r="AC32" s="2"/>
      <c r="AD32" s="2"/>
      <c r="AE32" s="2"/>
      <c r="AF32" s="2"/>
    </row>
    <row r="33" spans="1:32" ht="13.8" x14ac:dyDescent="0.3">
      <c r="A33" s="53">
        <v>0.76589613756201402</v>
      </c>
      <c r="B33" s="48"/>
      <c r="C33" s="24"/>
      <c r="D33" s="12"/>
      <c r="E33" s="12"/>
      <c r="F33" s="12"/>
      <c r="G33" s="12"/>
      <c r="H33" s="12"/>
      <c r="I33" s="25"/>
      <c r="J33" s="2"/>
      <c r="K33" s="2"/>
      <c r="L33" s="2"/>
      <c r="M33" s="2"/>
      <c r="N33" s="2"/>
      <c r="O33" s="2"/>
      <c r="P33" s="2"/>
      <c r="Q33" s="2"/>
      <c r="R33" s="2"/>
      <c r="S33" s="2"/>
      <c r="T33" s="2"/>
      <c r="U33" s="2"/>
      <c r="V33" s="2"/>
      <c r="W33" s="2"/>
      <c r="X33" s="2"/>
      <c r="Y33" s="2"/>
      <c r="Z33" s="2"/>
      <c r="AA33" s="2"/>
      <c r="AB33" s="2"/>
      <c r="AC33" s="2"/>
      <c r="AD33" s="2"/>
      <c r="AE33" s="2"/>
      <c r="AF33" s="2"/>
    </row>
    <row r="34" spans="1:32" x14ac:dyDescent="0.25">
      <c r="A34" s="51"/>
      <c r="B34" s="42"/>
      <c r="C34" s="3"/>
      <c r="D34" s="3"/>
      <c r="E34" s="3"/>
      <c r="F34" s="3"/>
      <c r="G34" s="3"/>
      <c r="H34" s="2"/>
      <c r="I34" s="2"/>
      <c r="J34" s="2"/>
      <c r="K34" s="2"/>
      <c r="L34" s="2"/>
      <c r="M34" s="2"/>
      <c r="N34" s="2"/>
      <c r="O34" s="2"/>
      <c r="P34" s="2"/>
      <c r="Q34" s="2"/>
      <c r="R34" s="2"/>
      <c r="S34" s="2"/>
      <c r="T34" s="2"/>
      <c r="U34" s="2"/>
      <c r="V34" s="2"/>
      <c r="W34" s="2"/>
      <c r="X34" s="2"/>
      <c r="Y34" s="2"/>
      <c r="Z34" s="2"/>
      <c r="AA34" s="2"/>
      <c r="AB34" s="2"/>
      <c r="AC34" s="2"/>
      <c r="AD34" s="2"/>
      <c r="AE34" s="2"/>
      <c r="AF34" s="2"/>
    </row>
    <row r="35" spans="1:32" x14ac:dyDescent="0.25">
      <c r="A35" s="51"/>
      <c r="B35" s="42"/>
      <c r="C35" s="54"/>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8" x14ac:dyDescent="0.3">
      <c r="A36" s="50" t="s">
        <v>37</v>
      </c>
      <c r="B36" s="42" t="s">
        <v>19</v>
      </c>
      <c r="C36" s="63">
        <v>6.25E-2</v>
      </c>
      <c r="D36" s="64">
        <v>0</v>
      </c>
      <c r="E36" s="64">
        <v>0.125</v>
      </c>
      <c r="F36" s="64">
        <v>6.25E-2</v>
      </c>
      <c r="G36" s="64">
        <v>6.25E-2</v>
      </c>
      <c r="H36" s="64"/>
      <c r="I36" s="79"/>
      <c r="J36" s="2"/>
      <c r="K36" s="2"/>
      <c r="L36" s="2"/>
      <c r="M36" s="2"/>
      <c r="N36" s="2"/>
      <c r="O36" s="2"/>
      <c r="P36" s="2"/>
      <c r="Q36" s="2"/>
      <c r="R36" s="2"/>
      <c r="S36" s="2"/>
      <c r="T36" s="2"/>
      <c r="U36" s="2"/>
      <c r="V36" s="2"/>
      <c r="W36" s="2"/>
      <c r="X36" s="2"/>
      <c r="Y36" s="2"/>
      <c r="Z36" s="2"/>
      <c r="AA36" s="2"/>
      <c r="AB36" s="2"/>
      <c r="AC36" s="2"/>
      <c r="AD36" s="2"/>
      <c r="AE36" s="2"/>
      <c r="AF36" s="2"/>
    </row>
    <row r="37" spans="1:32" ht="13.8" x14ac:dyDescent="0.3">
      <c r="A37" s="51">
        <v>12</v>
      </c>
      <c r="B37" s="42" t="s">
        <v>20</v>
      </c>
      <c r="C37" s="21">
        <v>0</v>
      </c>
      <c r="D37" s="22">
        <v>0</v>
      </c>
      <c r="E37" s="22">
        <v>0</v>
      </c>
      <c r="F37" s="22">
        <v>0.125</v>
      </c>
      <c r="G37" s="22">
        <v>0</v>
      </c>
      <c r="H37" s="22"/>
      <c r="I37" s="23"/>
      <c r="J37" s="2"/>
      <c r="K37" s="2"/>
      <c r="L37" s="2"/>
      <c r="M37" s="2"/>
      <c r="N37" s="2"/>
      <c r="O37" s="2"/>
      <c r="P37" s="2"/>
      <c r="Q37" s="2"/>
      <c r="R37" s="2"/>
      <c r="S37" s="2"/>
      <c r="T37" s="2"/>
      <c r="U37" s="2"/>
      <c r="V37" s="2"/>
      <c r="W37" s="2"/>
      <c r="X37" s="2"/>
      <c r="Y37" s="2"/>
      <c r="Z37" s="2"/>
      <c r="AA37" s="2"/>
      <c r="AB37" s="2"/>
      <c r="AC37" s="2"/>
      <c r="AD37" s="2"/>
      <c r="AE37" s="2"/>
      <c r="AF37" s="2"/>
    </row>
    <row r="38" spans="1:32" ht="13.8" x14ac:dyDescent="0.3">
      <c r="A38" s="51"/>
      <c r="B38" s="42" t="s">
        <v>18</v>
      </c>
      <c r="C38" s="21">
        <v>0.125</v>
      </c>
      <c r="D38" s="22">
        <v>0</v>
      </c>
      <c r="E38" s="22">
        <v>1</v>
      </c>
      <c r="F38" s="22">
        <v>0.125</v>
      </c>
      <c r="G38" s="22">
        <v>0.125</v>
      </c>
      <c r="H38" s="22"/>
      <c r="I38" s="23"/>
      <c r="J38" s="2"/>
      <c r="K38" s="2"/>
      <c r="L38" s="2"/>
      <c r="M38" s="2"/>
      <c r="N38" s="2"/>
      <c r="O38" s="2"/>
      <c r="P38" s="2"/>
      <c r="Q38" s="2"/>
      <c r="R38" s="2"/>
      <c r="S38" s="2"/>
      <c r="T38" s="2"/>
      <c r="U38" s="2"/>
    </row>
    <row r="39" spans="1:32" ht="13.8" x14ac:dyDescent="0.3">
      <c r="A39" s="52" t="s">
        <v>30</v>
      </c>
      <c r="B39" s="42" t="s">
        <v>21</v>
      </c>
      <c r="C39" s="21">
        <v>6.25E-2</v>
      </c>
      <c r="D39" s="22">
        <v>0.125</v>
      </c>
      <c r="E39" s="22">
        <v>0.125</v>
      </c>
      <c r="F39" s="22">
        <v>6.25E-2</v>
      </c>
      <c r="G39" s="22">
        <v>6.25E-2</v>
      </c>
      <c r="H39" s="22"/>
      <c r="I39" s="23"/>
      <c r="J39" s="2"/>
      <c r="K39" s="2"/>
      <c r="L39" s="2"/>
      <c r="M39" s="2"/>
      <c r="N39" s="2"/>
      <c r="O39" s="2"/>
      <c r="P39" s="2"/>
      <c r="Q39" s="2"/>
      <c r="R39" s="2"/>
      <c r="S39" s="2"/>
      <c r="T39" s="2"/>
      <c r="U39" s="2"/>
    </row>
    <row r="40" spans="1:32" ht="13.8" x14ac:dyDescent="0.3">
      <c r="A40" s="53">
        <v>0.33814729422395506</v>
      </c>
      <c r="B40" s="42" t="s">
        <v>22</v>
      </c>
      <c r="C40" s="21">
        <v>6.25E-2</v>
      </c>
      <c r="D40" s="22">
        <v>0</v>
      </c>
      <c r="E40" s="22">
        <v>0.125</v>
      </c>
      <c r="F40" s="22">
        <v>6.25E-2</v>
      </c>
      <c r="G40" s="22">
        <v>0.20231481481481484</v>
      </c>
      <c r="H40" s="22"/>
      <c r="I40" s="23"/>
      <c r="J40" s="2"/>
      <c r="K40" s="2"/>
      <c r="L40" s="2"/>
      <c r="M40" s="2"/>
      <c r="N40" s="2"/>
      <c r="O40" s="2"/>
      <c r="P40" s="2"/>
      <c r="Q40" s="2"/>
      <c r="R40" s="2"/>
      <c r="S40" s="2"/>
      <c r="T40" s="2"/>
      <c r="U40" s="2"/>
    </row>
    <row r="41" spans="1:32" ht="13.8" x14ac:dyDescent="0.3">
      <c r="A41" s="1"/>
      <c r="B41" s="47"/>
      <c r="C41" s="21"/>
      <c r="D41" s="22"/>
      <c r="E41" s="22"/>
      <c r="F41" s="22"/>
      <c r="G41" s="22"/>
      <c r="H41" s="22"/>
      <c r="I41" s="23"/>
      <c r="J41" s="2"/>
      <c r="K41" s="2"/>
      <c r="L41" s="2"/>
      <c r="M41" s="2"/>
      <c r="N41" s="2"/>
      <c r="O41" s="2"/>
      <c r="P41" s="2"/>
      <c r="Q41" s="2"/>
      <c r="R41" s="2"/>
      <c r="S41" s="2"/>
      <c r="T41" s="2"/>
      <c r="U41" s="2"/>
    </row>
    <row r="42" spans="1:32" ht="13.8" x14ac:dyDescent="0.3">
      <c r="A42" s="2"/>
      <c r="B42" s="47"/>
      <c r="C42" s="24"/>
      <c r="D42" s="12"/>
      <c r="E42" s="12"/>
      <c r="F42" s="12"/>
      <c r="G42" s="12"/>
      <c r="H42" s="12"/>
      <c r="I42" s="25"/>
      <c r="J42" s="2"/>
      <c r="K42" s="2"/>
      <c r="L42" s="2"/>
      <c r="M42" s="2"/>
      <c r="N42" s="2"/>
      <c r="O42" s="2"/>
      <c r="P42" s="2"/>
      <c r="Q42" s="2"/>
      <c r="R42" s="2"/>
      <c r="S42" s="2"/>
      <c r="T42" s="2"/>
      <c r="U42" s="2"/>
    </row>
    <row r="43" spans="1:32" x14ac:dyDescent="0.25">
      <c r="A43" s="2"/>
      <c r="B43" s="10"/>
      <c r="C43" s="2"/>
      <c r="D43" s="2"/>
      <c r="E43" s="2"/>
      <c r="F43" s="2"/>
      <c r="G43" s="2"/>
      <c r="H43" s="2"/>
      <c r="I43" s="2"/>
      <c r="J43" s="2"/>
      <c r="K43" s="2"/>
      <c r="L43" s="2"/>
      <c r="M43" s="2"/>
      <c r="N43" s="2"/>
      <c r="O43" s="2"/>
      <c r="P43" s="2"/>
      <c r="Q43" s="2"/>
      <c r="R43" s="2"/>
      <c r="S43" s="2"/>
      <c r="T43" s="2"/>
      <c r="U43" s="2"/>
    </row>
    <row r="44" spans="1:32" x14ac:dyDescent="0.25">
      <c r="A44" s="2"/>
      <c r="B44" s="10"/>
      <c r="C44" s="2"/>
      <c r="D44" s="2"/>
      <c r="E44" s="2"/>
      <c r="F44" s="2"/>
      <c r="G44" s="2"/>
      <c r="H44" s="2"/>
      <c r="I44" s="2"/>
      <c r="J44" s="2"/>
      <c r="K44" s="2"/>
      <c r="L44" s="2"/>
      <c r="M44" s="2"/>
      <c r="N44" s="2"/>
      <c r="O44" s="2"/>
      <c r="P44" s="2"/>
      <c r="Q44" s="2"/>
      <c r="R44" s="2"/>
      <c r="S44" s="2"/>
      <c r="T44" s="2"/>
      <c r="U44" s="2"/>
    </row>
    <row r="45" spans="1:32" x14ac:dyDescent="0.25">
      <c r="A45" s="2"/>
      <c r="B45" s="2"/>
      <c r="C45" s="2"/>
      <c r="D45" s="2"/>
      <c r="E45" s="2"/>
      <c r="F45" s="2"/>
      <c r="G45" s="2"/>
      <c r="H45" s="2"/>
      <c r="I45" s="2"/>
      <c r="J45" s="2"/>
      <c r="K45" s="2"/>
      <c r="L45" s="2"/>
      <c r="M45" s="2"/>
      <c r="N45" s="2"/>
      <c r="O45" s="2"/>
      <c r="P45" s="2"/>
      <c r="Q45" s="2"/>
      <c r="R45" s="2"/>
      <c r="S45" s="2"/>
      <c r="T45" s="2"/>
      <c r="U45" s="2"/>
    </row>
    <row r="46" spans="1:32" x14ac:dyDescent="0.25">
      <c r="A46" s="2"/>
      <c r="B46" s="2"/>
      <c r="C46" s="2"/>
      <c r="D46" s="2"/>
      <c r="E46" s="2"/>
      <c r="F46" s="2"/>
      <c r="G46" s="2"/>
      <c r="H46" s="2"/>
      <c r="I46" s="2"/>
      <c r="J46" s="2"/>
      <c r="K46" s="2"/>
      <c r="L46" s="2"/>
      <c r="M46" s="2"/>
      <c r="N46" s="2"/>
      <c r="O46" s="2"/>
      <c r="Q46" s="2"/>
      <c r="R46" s="2"/>
      <c r="S46" s="2"/>
      <c r="T46" s="2"/>
      <c r="U46" s="2"/>
    </row>
    <row r="47" spans="1:32" x14ac:dyDescent="0.25">
      <c r="A47" s="2"/>
      <c r="B47" s="2"/>
      <c r="C47" s="2"/>
      <c r="D47" s="2"/>
      <c r="E47" s="2"/>
      <c r="F47" s="2"/>
      <c r="G47" s="2"/>
      <c r="H47" s="2"/>
      <c r="I47" s="2"/>
      <c r="J47" s="2"/>
      <c r="K47" s="2"/>
      <c r="Q47" s="2"/>
      <c r="R47" s="2"/>
      <c r="S47" s="2"/>
      <c r="T47" s="2"/>
    </row>
    <row r="48" spans="1:32" x14ac:dyDescent="0.25">
      <c r="A48" s="2"/>
      <c r="B48" s="2"/>
      <c r="C48" s="2"/>
      <c r="D48" s="2"/>
      <c r="E48" s="2"/>
      <c r="F48" s="2"/>
      <c r="G48" s="2"/>
      <c r="H48" s="2"/>
      <c r="I48" s="2"/>
      <c r="J48" s="2"/>
      <c r="K48" s="2"/>
    </row>
    <row r="49" spans="1:19" x14ac:dyDescent="0.25">
      <c r="A49" s="2"/>
      <c r="B49" s="2"/>
      <c r="C49" s="2"/>
      <c r="D49" s="2"/>
      <c r="E49" s="2"/>
      <c r="F49" s="2"/>
      <c r="G49" s="2"/>
      <c r="H49" s="2"/>
      <c r="I49" s="2"/>
      <c r="J49" s="2"/>
      <c r="K49" s="2"/>
    </row>
    <row r="50" spans="1:19" x14ac:dyDescent="0.25">
      <c r="A50" s="2"/>
      <c r="B50" s="2"/>
      <c r="C50" s="2"/>
      <c r="D50" s="2"/>
      <c r="E50" s="2"/>
      <c r="F50" s="2"/>
      <c r="G50" s="2"/>
      <c r="H50" s="2"/>
      <c r="I50" s="2"/>
      <c r="J50" s="2"/>
      <c r="K50" s="2"/>
    </row>
    <row r="51" spans="1:19" x14ac:dyDescent="0.25">
      <c r="A51" s="2"/>
      <c r="B51" s="2"/>
      <c r="C51" s="2"/>
      <c r="D51" s="2"/>
      <c r="E51" s="2"/>
      <c r="F51" s="2"/>
      <c r="G51" s="2"/>
      <c r="H51" s="2"/>
      <c r="I51" s="2"/>
      <c r="J51" s="2"/>
      <c r="K51" s="2"/>
    </row>
    <row r="52" spans="1:19" x14ac:dyDescent="0.25">
      <c r="A52" s="2"/>
      <c r="B52" s="2"/>
      <c r="C52" s="2"/>
      <c r="D52" s="2"/>
      <c r="E52" s="2"/>
      <c r="F52" s="2"/>
      <c r="G52" s="2"/>
      <c r="H52" s="2"/>
      <c r="I52" s="2"/>
      <c r="J52" s="2"/>
      <c r="K52" s="2"/>
    </row>
    <row r="53" spans="1:19" x14ac:dyDescent="0.25">
      <c r="B53" s="49" t="s">
        <v>27</v>
      </c>
      <c r="H53" s="2"/>
      <c r="I53" s="2"/>
      <c r="J53" s="2"/>
      <c r="K53" s="2"/>
    </row>
    <row r="54" spans="1:19" x14ac:dyDescent="0.25">
      <c r="B54" s="49" t="s">
        <v>28</v>
      </c>
      <c r="H54" s="2"/>
      <c r="I54" s="2"/>
      <c r="J54" s="2"/>
      <c r="K54" s="2"/>
    </row>
    <row r="55" spans="1:19" x14ac:dyDescent="0.25">
      <c r="H55" s="2"/>
      <c r="I55" s="2"/>
      <c r="J55" s="2"/>
      <c r="K55" s="2"/>
    </row>
    <row r="57" spans="1:19" x14ac:dyDescent="0.25">
      <c r="S57" t="s">
        <v>0</v>
      </c>
    </row>
  </sheetData>
  <pageMargins left="0.75" right="0.75" top="1" bottom="1" header="0.5" footer="0.5"/>
  <pageSetup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72"/>
  <sheetViews>
    <sheetView tabSelected="1" zoomScale="130" zoomScaleNormal="130" workbookViewId="0">
      <selection activeCell="A16" sqref="A16"/>
    </sheetView>
  </sheetViews>
  <sheetFormatPr defaultRowHeight="13.2" x14ac:dyDescent="0.25"/>
  <cols>
    <col min="1" max="1" width="31.5546875" customWidth="1"/>
    <col min="2" max="2" width="8" customWidth="1"/>
    <col min="3" max="3" width="9.6640625" customWidth="1"/>
    <col min="4" max="4" width="9.109375" customWidth="1"/>
    <col min="5" max="5" width="10.109375" customWidth="1"/>
    <col min="7" max="7" width="9.6640625" customWidth="1"/>
    <col min="8" max="8" width="10.88671875" customWidth="1"/>
    <col min="9" max="9" width="10.5546875" customWidth="1"/>
    <col min="10" max="10" width="9.33203125" bestFit="1" customWidth="1"/>
    <col min="12" max="12" width="9.5546875" bestFit="1" customWidth="1"/>
    <col min="14" max="14" width="9.5546875" bestFit="1" customWidth="1"/>
    <col min="15" max="15" width="6.6640625" customWidth="1"/>
    <col min="16" max="16" width="10.33203125" customWidth="1"/>
    <col min="17" max="17" width="10.88671875" customWidth="1"/>
    <col min="18" max="18" width="7" customWidth="1"/>
    <col min="19" max="20" width="10.5546875" bestFit="1" customWidth="1"/>
    <col min="21" max="33" width="9.44140625" bestFit="1" customWidth="1"/>
  </cols>
  <sheetData>
    <row r="1" spans="1:37" ht="39" customHeight="1" x14ac:dyDescent="0.4">
      <c r="A1" s="26" t="s">
        <v>47</v>
      </c>
      <c r="B1" s="26"/>
      <c r="C1" s="15"/>
      <c r="D1" s="2"/>
      <c r="E1" s="2"/>
      <c r="F1" s="2"/>
      <c r="G1" s="2"/>
      <c r="H1" s="2"/>
      <c r="I1" s="2"/>
      <c r="J1" s="2"/>
      <c r="K1" s="2"/>
      <c r="L1" s="2"/>
      <c r="M1" s="2"/>
      <c r="N1" s="2"/>
      <c r="O1" s="2"/>
      <c r="P1" s="2"/>
    </row>
    <row r="2" spans="1:37" ht="13.8" x14ac:dyDescent="0.3">
      <c r="A2" s="27" t="s">
        <v>9</v>
      </c>
      <c r="B2" s="28"/>
      <c r="C2" s="57"/>
      <c r="D2" s="15"/>
      <c r="E2" s="15"/>
      <c r="F2" s="2"/>
      <c r="G2" s="2"/>
      <c r="H2" s="2"/>
      <c r="I2" s="2"/>
      <c r="J2" s="2"/>
      <c r="K2" s="2"/>
      <c r="L2" s="2"/>
      <c r="M2" s="2"/>
      <c r="N2" s="2"/>
      <c r="O2" s="2"/>
      <c r="P2" s="2"/>
      <c r="Q2" s="2"/>
      <c r="V2" s="2"/>
      <c r="W2" s="2"/>
      <c r="X2" s="2"/>
      <c r="Y2" s="2"/>
      <c r="Z2" s="2"/>
      <c r="AA2" s="2"/>
      <c r="AB2" s="2"/>
      <c r="AC2" s="2"/>
      <c r="AD2" s="2"/>
      <c r="AE2" s="2"/>
      <c r="AF2" s="2"/>
      <c r="AG2" s="2"/>
      <c r="AH2" s="2"/>
      <c r="AI2" s="2"/>
      <c r="AJ2" s="2"/>
      <c r="AK2" s="2"/>
    </row>
    <row r="3" spans="1:37" ht="13.8" x14ac:dyDescent="0.3">
      <c r="A3" s="29" t="s">
        <v>13</v>
      </c>
      <c r="B3" s="30">
        <v>0.25</v>
      </c>
      <c r="C3" s="57"/>
      <c r="D3" s="17"/>
      <c r="E3" s="15"/>
      <c r="F3" s="2"/>
      <c r="G3" s="1"/>
      <c r="H3" s="2"/>
      <c r="I3" s="2"/>
      <c r="J3" s="2"/>
      <c r="K3" s="2"/>
      <c r="L3" s="2"/>
      <c r="M3" s="2"/>
      <c r="N3" s="2"/>
      <c r="O3" s="2"/>
      <c r="P3" s="2"/>
      <c r="Q3" s="2"/>
      <c r="V3" s="2"/>
      <c r="W3" s="2"/>
      <c r="X3" s="2"/>
      <c r="Y3" s="2"/>
      <c r="Z3" s="2"/>
      <c r="AA3" s="2"/>
      <c r="AB3" s="2"/>
      <c r="AC3" s="2"/>
      <c r="AD3" s="2"/>
      <c r="AE3" s="2"/>
      <c r="AF3" s="2"/>
      <c r="AG3" s="2"/>
      <c r="AH3" s="2"/>
      <c r="AI3" s="2"/>
      <c r="AJ3" s="2"/>
      <c r="AK3" s="2"/>
    </row>
    <row r="4" spans="1:37" ht="13.8" x14ac:dyDescent="0.3">
      <c r="A4" s="29" t="s">
        <v>14</v>
      </c>
      <c r="B4" s="30">
        <v>0.5</v>
      </c>
      <c r="C4" s="2"/>
      <c r="D4" s="17"/>
      <c r="E4" s="15"/>
      <c r="F4" s="2"/>
      <c r="G4" s="1"/>
      <c r="H4" s="2"/>
      <c r="I4" s="2"/>
      <c r="J4" s="2"/>
      <c r="K4" s="2"/>
      <c r="L4" s="2"/>
      <c r="M4" s="2"/>
      <c r="N4" s="2"/>
      <c r="O4" s="2"/>
      <c r="P4" s="2"/>
      <c r="Q4" s="2"/>
      <c r="V4" s="2"/>
      <c r="W4" s="2"/>
      <c r="X4" s="2"/>
      <c r="Y4" s="2"/>
      <c r="Z4" s="2"/>
      <c r="AA4" s="2"/>
      <c r="AB4" s="2"/>
      <c r="AC4" s="2"/>
      <c r="AD4" s="2"/>
      <c r="AE4" s="2"/>
      <c r="AF4" s="2"/>
      <c r="AG4" s="2"/>
      <c r="AH4" s="2"/>
      <c r="AI4" s="2"/>
      <c r="AJ4" s="2"/>
      <c r="AK4" s="2"/>
    </row>
    <row r="5" spans="1:37" ht="13.8" x14ac:dyDescent="0.3">
      <c r="A5" s="29" t="s">
        <v>7</v>
      </c>
      <c r="B5" s="30">
        <v>0.15</v>
      </c>
      <c r="C5" s="2"/>
      <c r="D5" s="17"/>
      <c r="E5" s="15"/>
      <c r="F5" s="2"/>
      <c r="G5" s="2"/>
      <c r="H5" s="2"/>
      <c r="I5" s="2"/>
      <c r="J5" s="2"/>
      <c r="K5" s="2"/>
      <c r="L5" s="2"/>
      <c r="M5" s="2"/>
      <c r="N5" s="2"/>
      <c r="O5" s="2"/>
      <c r="P5" s="2"/>
      <c r="Q5" s="2"/>
      <c r="V5" s="2"/>
      <c r="W5" s="2"/>
      <c r="X5" s="2"/>
      <c r="Y5" s="2"/>
      <c r="Z5" s="2"/>
      <c r="AA5" s="2"/>
      <c r="AB5" s="2"/>
      <c r="AC5" s="2"/>
      <c r="AD5" s="2"/>
      <c r="AE5" s="2"/>
      <c r="AF5" s="2"/>
      <c r="AG5" s="2"/>
      <c r="AH5" s="2"/>
      <c r="AI5" s="2"/>
      <c r="AJ5" s="2"/>
      <c r="AK5" s="2"/>
    </row>
    <row r="6" spans="1:37" ht="14.4" x14ac:dyDescent="0.3">
      <c r="A6" s="29" t="s">
        <v>48</v>
      </c>
      <c r="B6" s="30">
        <v>9.0909000000000004E-2</v>
      </c>
      <c r="C6" s="2"/>
      <c r="D6" s="2"/>
      <c r="E6" s="2"/>
      <c r="F6" s="2"/>
      <c r="G6" s="2"/>
      <c r="H6" s="2"/>
      <c r="I6" s="77" t="s">
        <v>49</v>
      </c>
      <c r="J6" s="98">
        <v>0.62927717824340079</v>
      </c>
      <c r="K6" s="2"/>
      <c r="L6" s="2"/>
      <c r="M6" s="2"/>
      <c r="N6" s="2"/>
      <c r="O6" s="2"/>
      <c r="P6" s="2"/>
      <c r="Q6" s="2"/>
      <c r="V6" s="2"/>
      <c r="W6" s="2"/>
      <c r="X6" s="2"/>
      <c r="Y6" s="2"/>
      <c r="Z6" s="2"/>
      <c r="AA6" s="2"/>
      <c r="AB6" s="2"/>
      <c r="AC6" s="2"/>
      <c r="AD6" s="2"/>
      <c r="AE6" s="2"/>
      <c r="AF6" s="2"/>
      <c r="AG6" s="2"/>
      <c r="AH6" s="2"/>
      <c r="AI6" s="2"/>
      <c r="AJ6" s="2"/>
      <c r="AK6" s="2"/>
    </row>
    <row r="7" spans="1:37" ht="13.8" x14ac:dyDescent="0.3">
      <c r="A7" s="33"/>
      <c r="B7" s="34" t="s">
        <v>0</v>
      </c>
      <c r="C7" s="55"/>
      <c r="D7" s="81" t="s">
        <v>51</v>
      </c>
      <c r="E7" s="80"/>
      <c r="F7" s="81" t="s">
        <v>50</v>
      </c>
      <c r="G7" s="78"/>
      <c r="H7" s="2"/>
      <c r="I7" s="2"/>
      <c r="J7" s="2"/>
      <c r="K7" s="2"/>
      <c r="L7" s="2"/>
      <c r="M7" s="2"/>
      <c r="N7" s="2"/>
      <c r="O7" s="2"/>
      <c r="P7" s="2"/>
      <c r="Q7" s="2"/>
      <c r="V7" s="2"/>
      <c r="W7" s="2"/>
      <c r="X7" s="2"/>
      <c r="Y7" s="2"/>
      <c r="Z7" s="2"/>
      <c r="AA7" s="2"/>
      <c r="AB7" s="2"/>
      <c r="AC7" s="2"/>
      <c r="AD7" s="2"/>
      <c r="AE7" s="2"/>
      <c r="AF7" s="2"/>
      <c r="AG7" s="2"/>
      <c r="AH7" s="2"/>
      <c r="AI7" s="2"/>
      <c r="AJ7" s="2"/>
      <c r="AK7" s="2"/>
    </row>
    <row r="8" spans="1:37" ht="12.75" customHeight="1" x14ac:dyDescent="0.3">
      <c r="A8" s="27" t="s">
        <v>11</v>
      </c>
      <c r="B8" s="35" t="s">
        <v>12</v>
      </c>
      <c r="C8" s="56" t="s">
        <v>40</v>
      </c>
      <c r="D8" s="39" t="s">
        <v>41</v>
      </c>
      <c r="E8" s="74" t="s">
        <v>42</v>
      </c>
      <c r="F8" s="39" t="s">
        <v>41</v>
      </c>
      <c r="G8" s="78" t="s">
        <v>42</v>
      </c>
      <c r="H8" s="2"/>
      <c r="I8" s="82" t="s">
        <v>53</v>
      </c>
      <c r="J8" s="71">
        <v>0.59763282646962479</v>
      </c>
      <c r="K8" s="2"/>
      <c r="L8" s="2"/>
      <c r="M8" s="2"/>
      <c r="N8" s="2"/>
      <c r="O8" s="2"/>
      <c r="P8" s="2"/>
      <c r="Q8" s="2"/>
      <c r="V8" s="2"/>
      <c r="W8" s="2"/>
      <c r="X8" s="2"/>
      <c r="Y8" s="2"/>
      <c r="Z8" s="2"/>
      <c r="AA8" s="2"/>
      <c r="AB8" s="2"/>
      <c r="AC8" s="2"/>
      <c r="AD8" s="2"/>
      <c r="AE8" s="2"/>
      <c r="AF8" s="2"/>
      <c r="AG8" s="2"/>
      <c r="AH8" s="2"/>
      <c r="AI8" s="2"/>
      <c r="AJ8" s="2"/>
      <c r="AK8" s="2"/>
    </row>
    <row r="9" spans="1:37" ht="13.8" x14ac:dyDescent="0.3">
      <c r="A9" s="29" t="s">
        <v>1</v>
      </c>
      <c r="B9" s="36">
        <v>1</v>
      </c>
      <c r="C9" s="36">
        <v>1</v>
      </c>
      <c r="D9" s="40">
        <v>0.19009702414622828</v>
      </c>
      <c r="E9" s="75">
        <v>0.66436878023880408</v>
      </c>
      <c r="F9" s="87">
        <v>0.17066963348372444</v>
      </c>
      <c r="G9" s="86">
        <v>5.0286825691199799E-2</v>
      </c>
      <c r="H9" s="2"/>
      <c r="I9" s="82" t="s">
        <v>54</v>
      </c>
      <c r="J9" s="72">
        <v>0.30150456078804583</v>
      </c>
      <c r="K9" s="2"/>
      <c r="L9" s="2"/>
      <c r="M9" s="2"/>
      <c r="N9" s="2"/>
      <c r="O9" s="2"/>
      <c r="P9" s="2"/>
      <c r="Q9" s="2"/>
      <c r="V9" s="2"/>
      <c r="W9" s="2"/>
      <c r="X9" s="2"/>
      <c r="Y9" s="2"/>
      <c r="Z9" s="2"/>
      <c r="AA9" s="2"/>
      <c r="AB9" s="2"/>
      <c r="AC9" s="2"/>
      <c r="AD9" s="2"/>
      <c r="AE9" s="2"/>
      <c r="AF9" s="2"/>
      <c r="AG9" s="2"/>
      <c r="AH9" s="2"/>
      <c r="AI9" s="2"/>
      <c r="AJ9" s="2"/>
      <c r="AK9" s="2"/>
    </row>
    <row r="10" spans="1:37" ht="13.8" x14ac:dyDescent="0.3">
      <c r="A10" s="29" t="s">
        <v>2</v>
      </c>
      <c r="B10" s="36">
        <v>1</v>
      </c>
      <c r="C10" s="36">
        <v>0</v>
      </c>
      <c r="D10" s="40">
        <v>8.6663962837168332E-2</v>
      </c>
      <c r="E10" s="75" t="s">
        <v>43</v>
      </c>
      <c r="F10" s="87">
        <v>3.7306370666225774E-2</v>
      </c>
      <c r="G10" s="86" t="s">
        <v>43</v>
      </c>
      <c r="H10" s="2"/>
      <c r="I10" s="2"/>
      <c r="J10" s="2"/>
      <c r="K10" s="2"/>
      <c r="L10" s="2"/>
      <c r="M10" s="2"/>
      <c r="N10" s="2"/>
      <c r="O10" s="2"/>
      <c r="P10" s="2"/>
      <c r="Q10" s="2"/>
      <c r="V10" s="2"/>
      <c r="W10" s="2"/>
      <c r="X10" s="2"/>
      <c r="Y10" s="2"/>
      <c r="Z10" s="2"/>
      <c r="AA10" s="2"/>
      <c r="AB10" s="2"/>
      <c r="AC10" s="2"/>
      <c r="AD10" s="2"/>
      <c r="AE10" s="2"/>
      <c r="AF10" s="2"/>
      <c r="AG10" s="2"/>
      <c r="AH10" s="2"/>
      <c r="AI10" s="2"/>
      <c r="AJ10" s="2"/>
      <c r="AK10" s="2"/>
    </row>
    <row r="11" spans="1:37" ht="13.8" x14ac:dyDescent="0.3">
      <c r="A11" s="29" t="s">
        <v>3</v>
      </c>
      <c r="B11" s="36">
        <v>1</v>
      </c>
      <c r="C11" s="36">
        <v>0</v>
      </c>
      <c r="D11" s="40">
        <v>6.6174234320499778E-2</v>
      </c>
      <c r="E11" s="75" t="s">
        <v>43</v>
      </c>
      <c r="F11" s="87">
        <v>2.0314810937230865E-2</v>
      </c>
      <c r="G11" s="86" t="s">
        <v>43</v>
      </c>
      <c r="H11" s="7"/>
      <c r="I11" s="70"/>
      <c r="J11" s="70"/>
      <c r="K11" s="2"/>
      <c r="L11" s="2"/>
      <c r="M11" s="2"/>
      <c r="N11" s="2"/>
      <c r="O11" s="2"/>
      <c r="P11" s="2"/>
      <c r="Q11" s="2"/>
      <c r="V11" s="2"/>
      <c r="W11" s="2"/>
      <c r="X11" s="2"/>
      <c r="Y11" s="2"/>
      <c r="Z11" s="2"/>
      <c r="AA11" s="2"/>
      <c r="AB11" s="2"/>
      <c r="AC11" s="2"/>
      <c r="AD11" s="2"/>
      <c r="AE11" s="2"/>
      <c r="AF11" s="2"/>
      <c r="AG11" s="2"/>
      <c r="AH11" s="2"/>
      <c r="AI11" s="2"/>
      <c r="AJ11" s="2"/>
      <c r="AK11" s="2"/>
    </row>
    <row r="12" spans="1:37" ht="13.8" x14ac:dyDescent="0.3">
      <c r="A12" s="29" t="s">
        <v>4</v>
      </c>
      <c r="B12" s="36">
        <v>2</v>
      </c>
      <c r="C12" s="36">
        <v>0</v>
      </c>
      <c r="D12" s="40">
        <v>5.6194171713695881E-2</v>
      </c>
      <c r="E12" s="75" t="s">
        <v>43</v>
      </c>
      <c r="F12" s="87">
        <v>8.6216289031925131E-3</v>
      </c>
      <c r="G12" s="86" t="s">
        <v>43</v>
      </c>
      <c r="H12" s="2"/>
      <c r="I12" s="73" t="s">
        <v>45</v>
      </c>
      <c r="J12" s="71">
        <v>0.73242456008559886</v>
      </c>
      <c r="K12" s="2"/>
      <c r="L12" s="2"/>
      <c r="M12" s="2"/>
      <c r="N12" s="2"/>
      <c r="O12" s="2"/>
      <c r="P12" s="2"/>
      <c r="Q12" s="2"/>
      <c r="V12" s="2"/>
      <c r="W12" s="2"/>
      <c r="X12" s="2"/>
      <c r="Y12" s="2"/>
      <c r="Z12" s="2"/>
      <c r="AA12" s="2"/>
      <c r="AB12" s="2"/>
      <c r="AC12" s="2"/>
      <c r="AD12" s="2"/>
      <c r="AE12" s="2"/>
      <c r="AF12" s="2"/>
      <c r="AG12" s="2"/>
      <c r="AH12" s="2"/>
      <c r="AI12" s="2"/>
      <c r="AJ12" s="2"/>
      <c r="AK12" s="2"/>
    </row>
    <row r="13" spans="1:37" ht="13.8" x14ac:dyDescent="0.3">
      <c r="A13" s="29" t="s">
        <v>6</v>
      </c>
      <c r="B13" s="36">
        <v>9</v>
      </c>
      <c r="C13" s="36">
        <v>0</v>
      </c>
      <c r="D13" s="40">
        <v>0.1639178281333481</v>
      </c>
      <c r="E13" s="75" t="s">
        <v>43</v>
      </c>
      <c r="F13" s="87">
        <v>2.6586573949276104E-2</v>
      </c>
      <c r="G13" s="86" t="s">
        <v>43</v>
      </c>
      <c r="H13" s="2"/>
      <c r="I13" s="73" t="s">
        <v>46</v>
      </c>
      <c r="J13" s="72">
        <v>0.33597322786540945</v>
      </c>
      <c r="K13" s="2"/>
      <c r="L13" s="2"/>
      <c r="M13" s="2"/>
      <c r="N13" s="2"/>
      <c r="O13" s="2"/>
      <c r="P13" s="2"/>
      <c r="Q13" s="2"/>
      <c r="V13" s="2"/>
      <c r="W13" s="2"/>
      <c r="X13" s="2"/>
      <c r="Y13" s="2"/>
      <c r="Z13" s="2"/>
      <c r="AA13" s="2"/>
      <c r="AB13" s="2"/>
      <c r="AC13" s="2"/>
      <c r="AD13" s="2"/>
      <c r="AE13" s="2"/>
      <c r="AF13" s="2"/>
      <c r="AG13" s="2"/>
      <c r="AH13" s="2"/>
      <c r="AI13" s="2"/>
      <c r="AJ13" s="2"/>
      <c r="AK13" s="2"/>
    </row>
    <row r="14" spans="1:37" ht="13.8" x14ac:dyDescent="0.3">
      <c r="A14" s="37" t="s">
        <v>5</v>
      </c>
      <c r="B14" s="38">
        <v>0</v>
      </c>
      <c r="C14" s="38">
        <v>0</v>
      </c>
      <c r="D14" s="41" t="s">
        <v>43</v>
      </c>
      <c r="E14" s="76" t="s">
        <v>43</v>
      </c>
      <c r="F14" s="88" t="s">
        <v>43</v>
      </c>
      <c r="G14" s="89" t="s">
        <v>43</v>
      </c>
      <c r="H14" s="2"/>
      <c r="I14" s="2"/>
      <c r="J14" s="2"/>
      <c r="K14" s="2"/>
      <c r="L14" s="2"/>
      <c r="M14" s="2"/>
      <c r="N14" s="2"/>
      <c r="O14" s="2"/>
      <c r="P14" s="2"/>
      <c r="Q14" s="2"/>
      <c r="V14" s="2"/>
      <c r="W14" s="2"/>
      <c r="X14" s="2"/>
      <c r="Y14" s="2"/>
      <c r="Z14" s="2"/>
      <c r="AA14" s="2"/>
      <c r="AB14" s="2"/>
      <c r="AC14" s="2"/>
      <c r="AD14" s="2"/>
      <c r="AE14" s="2"/>
      <c r="AF14" s="2"/>
      <c r="AG14" s="2"/>
      <c r="AH14" s="2"/>
      <c r="AI14" s="2"/>
      <c r="AJ14" s="2"/>
      <c r="AK14" s="2"/>
    </row>
    <row r="15" spans="1:37" x14ac:dyDescent="0.25">
      <c r="A15" s="57"/>
      <c r="B15" s="57"/>
      <c r="C15" s="57"/>
      <c r="D15" s="57"/>
      <c r="E15" s="57"/>
      <c r="F15" s="2"/>
      <c r="G15" s="2"/>
      <c r="H15" s="2"/>
      <c r="I15" s="2"/>
      <c r="J15" s="2"/>
      <c r="K15" s="2"/>
      <c r="L15" s="2"/>
      <c r="M15" s="2"/>
      <c r="N15" s="2"/>
      <c r="O15" s="2"/>
      <c r="P15" s="2"/>
      <c r="Q15" s="2"/>
      <c r="V15" s="2"/>
      <c r="W15" s="2"/>
      <c r="X15" s="2"/>
      <c r="Y15" s="2"/>
      <c r="Z15" s="2"/>
      <c r="AA15" s="2"/>
      <c r="AB15" s="2"/>
      <c r="AC15" s="2"/>
      <c r="AD15" s="2"/>
      <c r="AE15" s="2"/>
      <c r="AF15" s="2"/>
      <c r="AG15" s="2"/>
      <c r="AH15" s="2"/>
      <c r="AI15" s="2"/>
      <c r="AJ15" s="2"/>
      <c r="AK15" s="2"/>
    </row>
    <row r="16" spans="1:37" ht="13.8" x14ac:dyDescent="0.3">
      <c r="A16" s="57"/>
      <c r="B16" s="57"/>
      <c r="C16" s="57"/>
      <c r="D16" s="57"/>
      <c r="E16" s="57"/>
      <c r="F16" s="2" t="s">
        <v>0</v>
      </c>
      <c r="G16" s="2" t="s">
        <v>0</v>
      </c>
      <c r="H16" s="2" t="s">
        <v>0</v>
      </c>
      <c r="I16" s="2" t="s">
        <v>0</v>
      </c>
      <c r="J16" s="2" t="s">
        <v>0</v>
      </c>
      <c r="K16" s="2"/>
      <c r="L16" s="2"/>
      <c r="M16" s="2"/>
      <c r="N16" s="2"/>
      <c r="O16" s="2"/>
      <c r="P16" s="2"/>
      <c r="Q16" s="15"/>
      <c r="R16" s="15"/>
      <c r="S16" s="15"/>
      <c r="T16" s="2"/>
      <c r="U16" s="2"/>
      <c r="V16" s="2"/>
      <c r="W16" s="2"/>
      <c r="X16" s="2"/>
      <c r="Y16" s="2"/>
      <c r="Z16" s="2"/>
      <c r="AA16" s="2"/>
      <c r="AB16" s="2"/>
      <c r="AC16" s="2"/>
      <c r="AD16" s="2"/>
      <c r="AE16" s="2"/>
      <c r="AF16" s="2"/>
      <c r="AG16" s="2"/>
      <c r="AH16" s="2"/>
      <c r="AI16" s="2"/>
      <c r="AJ16" s="2"/>
      <c r="AK16" s="2"/>
    </row>
    <row r="17" spans="1:41" ht="17.399999999999999" x14ac:dyDescent="0.3">
      <c r="A17" s="57"/>
      <c r="B17" s="57"/>
      <c r="C17" s="44" t="s">
        <v>26</v>
      </c>
      <c r="D17" s="2"/>
      <c r="E17" s="2"/>
      <c r="F17" s="2"/>
      <c r="G17" s="2"/>
      <c r="H17" s="2"/>
      <c r="I17" s="2"/>
      <c r="J17" s="2"/>
      <c r="L17" s="2"/>
      <c r="M17" s="2"/>
      <c r="N17" s="2"/>
      <c r="O17" s="45" t="s">
        <v>32</v>
      </c>
      <c r="P17" s="2"/>
      <c r="Q17" s="45" t="s">
        <v>33</v>
      </c>
      <c r="R17" s="2"/>
      <c r="S17" s="43" t="s">
        <v>34</v>
      </c>
      <c r="T17" s="15"/>
      <c r="U17" s="15"/>
      <c r="V17" s="2"/>
      <c r="W17" s="2"/>
      <c r="X17" s="2"/>
      <c r="Y17" s="2"/>
      <c r="Z17" s="2"/>
      <c r="AA17" s="2"/>
      <c r="AB17" s="2"/>
      <c r="AC17" s="2"/>
      <c r="AD17" s="2"/>
      <c r="AE17" s="2"/>
      <c r="AF17" s="2"/>
      <c r="AG17" s="2"/>
      <c r="AH17" s="2"/>
      <c r="AI17" s="2"/>
      <c r="AJ17" s="2"/>
      <c r="AK17" s="2"/>
    </row>
    <row r="18" spans="1:41" ht="13.8" x14ac:dyDescent="0.3">
      <c r="A18" s="2"/>
      <c r="B18" s="46" t="s">
        <v>19</v>
      </c>
      <c r="C18" s="63">
        <v>1</v>
      </c>
      <c r="D18" s="64">
        <v>0.125</v>
      </c>
      <c r="E18" s="64">
        <v>0.125</v>
      </c>
      <c r="F18" s="64">
        <v>0.27500000000000002</v>
      </c>
      <c r="G18" s="64">
        <v>6.25E-2</v>
      </c>
      <c r="H18" s="64">
        <v>2.2728250000000002E-2</v>
      </c>
      <c r="I18" s="64"/>
      <c r="J18" s="64"/>
      <c r="K18" s="64"/>
      <c r="L18" s="64"/>
      <c r="M18" s="64"/>
      <c r="N18" s="64"/>
      <c r="O18" s="65">
        <v>0.25</v>
      </c>
      <c r="P18" s="14" t="s">
        <v>19</v>
      </c>
      <c r="Q18" s="65">
        <v>0.19009702414622828</v>
      </c>
      <c r="R18" s="2"/>
      <c r="S18" s="66">
        <v>0.62927717824340079</v>
      </c>
      <c r="T18" s="2"/>
      <c r="U18" s="15"/>
      <c r="V18" s="15"/>
      <c r="W18" s="15"/>
      <c r="X18" s="2"/>
      <c r="Y18" s="2"/>
      <c r="Z18" s="2"/>
      <c r="AA18" s="2"/>
      <c r="AB18" s="2"/>
      <c r="AC18" s="2"/>
      <c r="AD18" s="2"/>
      <c r="AE18" s="2"/>
      <c r="AF18" s="2"/>
      <c r="AG18" s="2"/>
      <c r="AH18" s="2"/>
      <c r="AI18" s="2"/>
      <c r="AJ18" s="2"/>
      <c r="AK18" s="2"/>
      <c r="AL18" s="2"/>
      <c r="AM18" s="2"/>
      <c r="AN18" s="2"/>
      <c r="AO18" s="2"/>
    </row>
    <row r="19" spans="1:41" ht="13.8" x14ac:dyDescent="0.3">
      <c r="A19" s="2"/>
      <c r="B19" s="47" t="s">
        <v>20</v>
      </c>
      <c r="C19" s="21">
        <v>0.125</v>
      </c>
      <c r="D19" s="22">
        <v>1</v>
      </c>
      <c r="E19" s="22">
        <v>0</v>
      </c>
      <c r="F19" s="22">
        <v>0.125</v>
      </c>
      <c r="G19" s="22">
        <v>0</v>
      </c>
      <c r="H19" s="22">
        <v>1.1363625E-2</v>
      </c>
      <c r="I19" s="22"/>
      <c r="J19" s="22"/>
      <c r="K19" s="22"/>
      <c r="L19" s="22"/>
      <c r="M19" s="22"/>
      <c r="N19" s="22"/>
      <c r="O19" s="13">
        <v>0.125</v>
      </c>
      <c r="P19" s="17" t="s">
        <v>20</v>
      </c>
      <c r="Q19" s="13">
        <v>8.6663962837168332E-2</v>
      </c>
      <c r="R19" s="2"/>
      <c r="S19" s="2"/>
      <c r="T19" s="2"/>
      <c r="U19" s="15"/>
      <c r="V19" s="15"/>
      <c r="W19" s="15"/>
      <c r="X19" s="2"/>
      <c r="Y19" s="2"/>
      <c r="Z19" s="2"/>
      <c r="AA19" s="2"/>
      <c r="AB19" s="2"/>
      <c r="AC19" s="2"/>
      <c r="AD19" s="2"/>
      <c r="AE19" s="2"/>
      <c r="AF19" s="2"/>
      <c r="AG19" s="2"/>
      <c r="AH19" s="2"/>
      <c r="AI19" s="2"/>
      <c r="AJ19" s="2"/>
      <c r="AK19" s="2"/>
      <c r="AL19" s="2"/>
      <c r="AM19" s="2"/>
      <c r="AN19" s="2"/>
      <c r="AO19" s="2"/>
    </row>
    <row r="20" spans="1:41" ht="13.8" x14ac:dyDescent="0.3">
      <c r="A20" s="2"/>
      <c r="B20" s="47" t="s">
        <v>18</v>
      </c>
      <c r="C20" s="21">
        <v>0.125</v>
      </c>
      <c r="D20" s="22">
        <v>0</v>
      </c>
      <c r="E20" s="22">
        <v>1</v>
      </c>
      <c r="F20" s="22">
        <v>0.125</v>
      </c>
      <c r="G20" s="22">
        <v>0.125</v>
      </c>
      <c r="H20" s="22">
        <v>1.1363625E-2</v>
      </c>
      <c r="I20" s="22"/>
      <c r="J20" s="22"/>
      <c r="K20" s="22"/>
      <c r="L20" s="22"/>
      <c r="M20" s="22"/>
      <c r="N20" s="22"/>
      <c r="O20" s="16">
        <v>0.125</v>
      </c>
      <c r="P20" s="17" t="s">
        <v>18</v>
      </c>
      <c r="Q20" s="13">
        <v>6.6174234320499778E-2</v>
      </c>
      <c r="R20" s="2"/>
      <c r="S20" s="59" t="s">
        <v>44</v>
      </c>
      <c r="T20" s="60"/>
      <c r="U20" s="60"/>
      <c r="V20" s="60"/>
      <c r="W20" s="60"/>
      <c r="X20" s="61"/>
      <c r="Y20" s="2"/>
      <c r="Z20" s="2"/>
      <c r="AA20" s="2"/>
      <c r="AB20" s="2"/>
      <c r="AC20" s="2"/>
      <c r="AD20" s="2"/>
      <c r="AE20" s="2"/>
      <c r="AF20" s="2"/>
      <c r="AG20" s="2"/>
      <c r="AH20" s="2"/>
      <c r="AI20" s="2"/>
      <c r="AJ20" s="2"/>
      <c r="AK20" s="2"/>
      <c r="AL20" s="2"/>
      <c r="AM20" s="2"/>
      <c r="AN20" s="2"/>
      <c r="AO20" s="2"/>
    </row>
    <row r="21" spans="1:41" ht="13.8" x14ac:dyDescent="0.3">
      <c r="A21" s="2"/>
      <c r="B21" s="47" t="s">
        <v>21</v>
      </c>
      <c r="C21" s="21">
        <v>0.27500000000000002</v>
      </c>
      <c r="D21" s="22">
        <v>0.125</v>
      </c>
      <c r="E21" s="22">
        <v>0.125</v>
      </c>
      <c r="F21" s="22">
        <v>0.63749999999999996</v>
      </c>
      <c r="G21" s="22">
        <v>6.25E-2</v>
      </c>
      <c r="H21" s="22">
        <v>1.1364012298334621E-2</v>
      </c>
      <c r="I21" s="22"/>
      <c r="J21" s="22"/>
      <c r="K21" s="22"/>
      <c r="L21" s="22"/>
      <c r="M21" s="22"/>
      <c r="N21" s="22"/>
      <c r="O21" s="16">
        <v>0.125</v>
      </c>
      <c r="P21" s="17" t="s">
        <v>21</v>
      </c>
      <c r="Q21" s="13">
        <v>5.6194171713695881E-2</v>
      </c>
      <c r="R21" s="2"/>
      <c r="S21" s="62">
        <v>0.29773460709496619</v>
      </c>
      <c r="T21" s="62">
        <v>0.12491903069810963</v>
      </c>
      <c r="U21" s="2"/>
      <c r="V21" s="2"/>
      <c r="W21" s="2"/>
      <c r="X21" s="2"/>
      <c r="Y21" s="2"/>
      <c r="Z21" s="2"/>
      <c r="AA21" s="2"/>
      <c r="AB21" s="2"/>
      <c r="AC21" s="2"/>
      <c r="AD21" s="2"/>
      <c r="AE21" s="2"/>
      <c r="AF21" s="2"/>
      <c r="AG21" s="2"/>
      <c r="AH21" s="2"/>
      <c r="AI21" s="2"/>
      <c r="AJ21" s="2"/>
      <c r="AK21" s="2"/>
      <c r="AL21" s="2"/>
      <c r="AM21" s="2"/>
      <c r="AN21" s="2"/>
      <c r="AO21" s="2"/>
    </row>
    <row r="22" spans="1:41" ht="13.8" x14ac:dyDescent="0.3">
      <c r="A22" s="11"/>
      <c r="B22" s="48" t="s">
        <v>22</v>
      </c>
      <c r="C22" s="21">
        <v>6.25E-2</v>
      </c>
      <c r="D22" s="22">
        <v>0</v>
      </c>
      <c r="E22" s="22">
        <v>0.125</v>
      </c>
      <c r="F22" s="22">
        <v>6.25E-2</v>
      </c>
      <c r="G22" s="22">
        <v>0.21388888888888891</v>
      </c>
      <c r="H22" s="22">
        <v>5.6818125000000002E-3</v>
      </c>
      <c r="I22" s="22"/>
      <c r="J22" s="22"/>
      <c r="K22" s="22"/>
      <c r="L22" s="22"/>
      <c r="M22" s="22"/>
      <c r="N22" s="22"/>
      <c r="O22" s="16">
        <v>6.25E-2</v>
      </c>
      <c r="P22" s="17" t="s">
        <v>22</v>
      </c>
      <c r="Q22" s="13">
        <v>0.1639178281333481</v>
      </c>
      <c r="R22" s="2"/>
      <c r="S22" s="62">
        <v>0.83104051351374197</v>
      </c>
      <c r="T22" s="62">
        <v>7.588981621652649E-2</v>
      </c>
      <c r="U22" s="2"/>
      <c r="V22" s="2"/>
      <c r="W22" s="2"/>
      <c r="X22" s="2"/>
      <c r="Y22" s="2"/>
      <c r="Z22" s="2"/>
      <c r="AA22" s="2"/>
      <c r="AB22" s="2"/>
      <c r="AC22" s="2"/>
      <c r="AD22" s="2"/>
      <c r="AE22" s="2"/>
      <c r="AF22" s="2"/>
      <c r="AG22" s="2"/>
      <c r="AH22" s="2"/>
      <c r="AI22" s="2"/>
      <c r="AJ22" s="2"/>
      <c r="AK22" s="2"/>
    </row>
    <row r="23" spans="1:41" ht="13.8" x14ac:dyDescent="0.3">
      <c r="A23" s="11"/>
      <c r="B23" s="48" t="s">
        <v>68</v>
      </c>
      <c r="C23" s="21">
        <v>2.2728250000000002E-2</v>
      </c>
      <c r="D23" s="22">
        <v>1.1363625E-2</v>
      </c>
      <c r="E23" s="22">
        <v>1.1363625E-2</v>
      </c>
      <c r="F23" s="22">
        <v>1.1364012298334621E-2</v>
      </c>
      <c r="G23" s="22">
        <v>5.6818125000000002E-3</v>
      </c>
      <c r="H23" s="22">
        <v>2.2728250000000002E-2</v>
      </c>
      <c r="I23" s="22"/>
      <c r="J23" s="22"/>
      <c r="K23" s="22"/>
      <c r="L23" s="22"/>
      <c r="M23" s="22"/>
      <c r="N23" s="22"/>
      <c r="O23" s="16">
        <v>2.2727250000000001E-2</v>
      </c>
      <c r="P23" s="17" t="s">
        <v>68</v>
      </c>
      <c r="Q23" s="18">
        <v>0.66436878023880408</v>
      </c>
      <c r="R23" s="2"/>
      <c r="S23" s="2"/>
      <c r="T23" s="2"/>
      <c r="U23" s="2"/>
      <c r="V23" s="2"/>
      <c r="W23" s="2"/>
      <c r="X23" s="2"/>
      <c r="Y23" s="2"/>
      <c r="Z23" s="2"/>
      <c r="AA23" s="2"/>
      <c r="AB23" s="2"/>
      <c r="AC23" s="2"/>
      <c r="AD23" s="2"/>
      <c r="AE23" s="2"/>
      <c r="AF23" s="2"/>
      <c r="AG23" s="2"/>
      <c r="AH23" s="2"/>
      <c r="AI23" s="2"/>
      <c r="AJ23" s="2"/>
      <c r="AK23" s="2"/>
    </row>
    <row r="24" spans="1:41" ht="13.8" x14ac:dyDescent="0.3">
      <c r="A24" s="11"/>
      <c r="B24" s="48"/>
      <c r="C24" s="21"/>
      <c r="D24" s="22"/>
      <c r="E24" s="22"/>
      <c r="F24" s="22"/>
      <c r="G24" s="22"/>
      <c r="H24" s="22"/>
      <c r="I24" s="22"/>
      <c r="J24" s="22"/>
      <c r="K24" s="22"/>
      <c r="L24" s="22"/>
      <c r="M24" s="22"/>
      <c r="N24" s="22"/>
      <c r="O24" s="16"/>
      <c r="P24" s="17"/>
      <c r="Q24" s="18"/>
      <c r="R24" s="2"/>
      <c r="S24" s="2"/>
      <c r="T24" s="2"/>
      <c r="U24" s="2"/>
      <c r="V24" s="2"/>
      <c r="W24" s="2"/>
      <c r="X24" s="2"/>
      <c r="Y24" s="2"/>
      <c r="Z24" s="2"/>
      <c r="AA24" s="2"/>
      <c r="AB24" s="2"/>
      <c r="AC24" s="2"/>
      <c r="AD24" s="2"/>
      <c r="AE24" s="2"/>
      <c r="AF24" s="2"/>
      <c r="AG24" s="2"/>
      <c r="AH24" s="2"/>
      <c r="AI24" s="2"/>
      <c r="AJ24" s="2"/>
      <c r="AK24" s="2"/>
    </row>
    <row r="25" spans="1:41" ht="13.8" x14ac:dyDescent="0.3">
      <c r="A25" s="11"/>
      <c r="B25" s="48"/>
      <c r="C25" s="21"/>
      <c r="D25" s="22"/>
      <c r="E25" s="22"/>
      <c r="F25" s="22"/>
      <c r="G25" s="22"/>
      <c r="H25" s="22"/>
      <c r="I25" s="22"/>
      <c r="J25" s="22"/>
      <c r="K25" s="22"/>
      <c r="L25" s="22"/>
      <c r="M25" s="22"/>
      <c r="N25" s="22"/>
      <c r="O25" s="16"/>
      <c r="P25" s="17"/>
      <c r="Q25" s="18"/>
      <c r="R25" s="2"/>
      <c r="S25" s="2"/>
      <c r="T25" s="2"/>
      <c r="U25" s="2"/>
      <c r="V25" s="2"/>
      <c r="W25" s="2"/>
      <c r="X25" s="2"/>
      <c r="Y25" s="2"/>
      <c r="Z25" s="2"/>
      <c r="AA25" s="2"/>
      <c r="AB25" s="2"/>
      <c r="AC25" s="2"/>
      <c r="AD25" s="2"/>
      <c r="AE25" s="2"/>
      <c r="AF25" s="2"/>
      <c r="AG25" s="2"/>
      <c r="AH25" s="2"/>
      <c r="AI25" s="2"/>
      <c r="AJ25" s="2"/>
      <c r="AK25" s="2"/>
    </row>
    <row r="26" spans="1:41" ht="13.8" x14ac:dyDescent="0.3">
      <c r="A26" s="11"/>
      <c r="B26" s="48"/>
      <c r="C26" s="21"/>
      <c r="D26" s="22"/>
      <c r="E26" s="22"/>
      <c r="F26" s="22"/>
      <c r="G26" s="22"/>
      <c r="H26" s="22"/>
      <c r="I26" s="22"/>
      <c r="J26" s="22"/>
      <c r="K26" s="22"/>
      <c r="L26" s="22"/>
      <c r="M26" s="22"/>
      <c r="N26" s="22"/>
      <c r="O26" s="16"/>
      <c r="P26" s="17"/>
      <c r="Q26" s="18"/>
      <c r="R26" s="2"/>
      <c r="S26" s="2"/>
      <c r="T26" s="2"/>
      <c r="U26" s="2"/>
      <c r="V26" s="2"/>
      <c r="W26" s="2"/>
      <c r="X26" s="2"/>
      <c r="Y26" s="2"/>
      <c r="Z26" s="2"/>
      <c r="AA26" s="2"/>
      <c r="AB26" s="2"/>
      <c r="AC26" s="2"/>
      <c r="AD26" s="2"/>
      <c r="AE26" s="2"/>
      <c r="AF26" s="2"/>
      <c r="AG26" s="2"/>
      <c r="AH26" s="2"/>
      <c r="AI26" s="2"/>
      <c r="AJ26" s="2"/>
      <c r="AK26" s="2"/>
    </row>
    <row r="27" spans="1:41" ht="13.8" x14ac:dyDescent="0.3">
      <c r="A27" s="11"/>
      <c r="B27" s="48"/>
      <c r="C27" s="21"/>
      <c r="D27" s="22"/>
      <c r="E27" s="22"/>
      <c r="F27" s="22"/>
      <c r="G27" s="22"/>
      <c r="H27" s="22"/>
      <c r="I27" s="22"/>
      <c r="J27" s="22"/>
      <c r="K27" s="22"/>
      <c r="L27" s="22"/>
      <c r="M27" s="22"/>
      <c r="N27" s="22"/>
      <c r="O27" s="16"/>
      <c r="P27" s="17"/>
      <c r="Q27" s="18"/>
      <c r="R27" s="2"/>
      <c r="S27" s="2"/>
      <c r="T27" s="2"/>
      <c r="U27" s="2"/>
      <c r="V27" s="2"/>
      <c r="W27" s="2"/>
      <c r="X27" s="2"/>
      <c r="Y27" s="2"/>
      <c r="Z27" s="2"/>
      <c r="AA27" s="2"/>
      <c r="AB27" s="2"/>
      <c r="AC27" s="2"/>
      <c r="AD27" s="2"/>
      <c r="AE27" s="2"/>
      <c r="AF27" s="2"/>
      <c r="AG27" s="2"/>
      <c r="AH27" s="2"/>
      <c r="AI27" s="2"/>
      <c r="AJ27" s="2"/>
      <c r="AK27" s="2"/>
    </row>
    <row r="28" spans="1:41" ht="13.8" x14ac:dyDescent="0.3">
      <c r="A28" s="11"/>
      <c r="B28" s="48"/>
      <c r="C28" s="21"/>
      <c r="D28" s="22"/>
      <c r="E28" s="22"/>
      <c r="F28" s="22"/>
      <c r="G28" s="22"/>
      <c r="H28" s="22"/>
      <c r="I28" s="22"/>
      <c r="J28" s="22"/>
      <c r="K28" s="22"/>
      <c r="L28" s="22"/>
      <c r="M28" s="22"/>
      <c r="N28" s="22"/>
      <c r="O28" s="16"/>
      <c r="P28" s="17"/>
      <c r="Q28" s="18"/>
      <c r="R28" s="2"/>
      <c r="S28" s="2"/>
      <c r="T28" s="2"/>
      <c r="U28" s="2"/>
      <c r="V28" s="2"/>
      <c r="W28" s="2"/>
      <c r="X28" s="2"/>
      <c r="Y28" s="2"/>
      <c r="Z28" s="2"/>
      <c r="AA28" s="2"/>
      <c r="AB28" s="2"/>
      <c r="AC28" s="2"/>
      <c r="AD28" s="2"/>
      <c r="AE28" s="2"/>
      <c r="AF28" s="2"/>
      <c r="AG28" s="2"/>
      <c r="AH28" s="2"/>
      <c r="AI28" s="2"/>
      <c r="AJ28" s="2"/>
      <c r="AK28" s="2"/>
    </row>
    <row r="29" spans="1:41" ht="13.8" x14ac:dyDescent="0.3">
      <c r="A29" s="11"/>
      <c r="B29" s="48"/>
      <c r="C29" s="24"/>
      <c r="D29" s="12"/>
      <c r="E29" s="12"/>
      <c r="F29" s="12"/>
      <c r="G29" s="12"/>
      <c r="H29" s="12"/>
      <c r="I29" s="12"/>
      <c r="J29" s="12"/>
      <c r="K29" s="12"/>
      <c r="L29" s="12"/>
      <c r="M29" s="12"/>
      <c r="N29" s="12"/>
      <c r="O29" s="19"/>
      <c r="P29" s="17"/>
      <c r="Q29" s="20"/>
      <c r="R29" s="2"/>
      <c r="S29" s="2"/>
      <c r="T29" s="2"/>
      <c r="U29" s="2"/>
      <c r="V29" s="2"/>
      <c r="W29" s="2"/>
      <c r="X29" s="2"/>
      <c r="Y29" s="2"/>
      <c r="Z29" s="2"/>
      <c r="AA29" s="2"/>
      <c r="AB29" s="2"/>
      <c r="AC29" s="2"/>
      <c r="AD29" s="2"/>
      <c r="AE29" s="2"/>
      <c r="AF29" s="2"/>
      <c r="AG29" s="2"/>
      <c r="AH29" s="2"/>
      <c r="AI29" s="2"/>
      <c r="AJ29" s="2"/>
      <c r="AK29" s="2"/>
    </row>
    <row r="30" spans="1:41" x14ac:dyDescent="0.25">
      <c r="A30" s="11"/>
      <c r="B30" s="48"/>
      <c r="C30" s="6"/>
      <c r="D30" s="6"/>
      <c r="E30" s="6"/>
      <c r="F30" s="6"/>
      <c r="G30" s="6"/>
      <c r="H30" s="2"/>
      <c r="I30" s="2"/>
      <c r="J30" s="2"/>
      <c r="K30" s="6"/>
      <c r="L30" s="6"/>
      <c r="M30" s="2"/>
      <c r="N30" s="2"/>
      <c r="O30" s="2"/>
      <c r="P30" s="2"/>
      <c r="Q30" s="2"/>
      <c r="R30" s="2"/>
      <c r="S30" s="2"/>
      <c r="T30" s="2"/>
      <c r="U30" s="2"/>
      <c r="V30" s="2"/>
      <c r="W30" s="2"/>
      <c r="X30" s="2"/>
      <c r="Y30" s="2"/>
      <c r="Z30" s="2"/>
      <c r="AA30" s="2"/>
      <c r="AB30" s="2"/>
      <c r="AC30" s="2"/>
      <c r="AD30" s="2"/>
      <c r="AE30" s="2"/>
      <c r="AF30" s="2"/>
      <c r="AG30" s="2"/>
      <c r="AH30" s="2"/>
      <c r="AI30" s="2"/>
      <c r="AJ30" s="2"/>
      <c r="AK30" s="2"/>
    </row>
    <row r="31" spans="1:41" x14ac:dyDescent="0.25">
      <c r="A31" s="2"/>
      <c r="B31" s="48"/>
      <c r="C31" s="54" t="s">
        <v>38</v>
      </c>
      <c r="D31" s="6"/>
      <c r="E31" s="6"/>
      <c r="F31" s="6"/>
      <c r="G31" s="6"/>
      <c r="H31" s="2"/>
      <c r="I31" s="2"/>
      <c r="J31" s="2"/>
      <c r="K31" s="6"/>
      <c r="L31" s="6"/>
      <c r="M31" s="2"/>
      <c r="N31" s="2"/>
      <c r="O31" s="2"/>
      <c r="P31" s="2"/>
      <c r="Q31" s="2"/>
      <c r="R31" s="2"/>
      <c r="S31" s="2"/>
      <c r="T31" s="2"/>
      <c r="U31" s="2"/>
      <c r="V31" s="2"/>
      <c r="W31" s="2"/>
      <c r="X31" s="2"/>
      <c r="Y31" s="2"/>
      <c r="Z31" s="2"/>
      <c r="AA31" s="2"/>
      <c r="AB31" s="2"/>
      <c r="AC31" s="2"/>
      <c r="AD31" s="2"/>
      <c r="AE31" s="2"/>
      <c r="AF31" s="2"/>
      <c r="AG31" s="2"/>
      <c r="AH31" s="2"/>
      <c r="AI31" s="2"/>
      <c r="AJ31" s="2"/>
      <c r="AK31" s="2"/>
    </row>
    <row r="32" spans="1:41" ht="13.8" x14ac:dyDescent="0.3">
      <c r="A32" s="50" t="s">
        <v>35</v>
      </c>
      <c r="B32" s="48" t="s">
        <v>19</v>
      </c>
      <c r="C32" s="63">
        <v>0.27500000000000002</v>
      </c>
      <c r="D32" s="64">
        <v>0.125</v>
      </c>
      <c r="E32" s="64">
        <v>0.125</v>
      </c>
      <c r="F32" s="64">
        <v>0.63749999999999996</v>
      </c>
      <c r="G32" s="64">
        <v>6.25E-2</v>
      </c>
      <c r="H32" s="64">
        <v>1.1364012298334621E-2</v>
      </c>
      <c r="I32" s="64"/>
      <c r="J32" s="64"/>
      <c r="K32" s="64"/>
      <c r="L32" s="64"/>
      <c r="M32" s="64"/>
      <c r="N32" s="64"/>
      <c r="O32" s="2"/>
      <c r="P32" s="2"/>
      <c r="Q32" s="2"/>
      <c r="R32" s="2"/>
      <c r="S32" s="2"/>
      <c r="T32" s="2"/>
      <c r="U32" s="2"/>
      <c r="V32" s="2"/>
      <c r="W32" s="2"/>
      <c r="X32" s="2"/>
      <c r="Y32" s="2"/>
      <c r="Z32" s="2"/>
      <c r="AA32" s="2"/>
      <c r="AB32" s="2"/>
      <c r="AC32" s="2"/>
      <c r="AD32" s="2"/>
      <c r="AE32" s="2"/>
      <c r="AF32" s="2"/>
      <c r="AG32" s="2"/>
      <c r="AH32" s="2"/>
      <c r="AI32" s="2"/>
      <c r="AJ32" s="2"/>
      <c r="AK32" s="2"/>
    </row>
    <row r="33" spans="1:37" ht="13.8" x14ac:dyDescent="0.3">
      <c r="A33" s="51">
        <v>4</v>
      </c>
      <c r="B33" s="48" t="s">
        <v>20</v>
      </c>
      <c r="C33" s="21">
        <v>0.125</v>
      </c>
      <c r="D33" s="22">
        <v>1</v>
      </c>
      <c r="E33" s="22">
        <v>0</v>
      </c>
      <c r="F33" s="22">
        <v>0.125</v>
      </c>
      <c r="G33" s="22">
        <v>0</v>
      </c>
      <c r="H33" s="22">
        <v>1.1363625E-2</v>
      </c>
      <c r="I33" s="22"/>
      <c r="J33" s="22"/>
      <c r="K33" s="22"/>
      <c r="L33" s="22"/>
      <c r="M33" s="22"/>
      <c r="N33" s="22"/>
      <c r="O33" s="2"/>
      <c r="P33" s="2"/>
      <c r="Q33" s="2"/>
      <c r="R33" s="2"/>
      <c r="S33" s="2"/>
      <c r="T33" s="2"/>
      <c r="U33" s="2"/>
      <c r="V33" s="2"/>
      <c r="W33" s="2"/>
      <c r="X33" s="2"/>
      <c r="Y33" s="2"/>
      <c r="Z33" s="2"/>
      <c r="AA33" s="2"/>
      <c r="AB33" s="2"/>
      <c r="AC33" s="2"/>
      <c r="AD33" s="2"/>
      <c r="AE33" s="2"/>
      <c r="AF33" s="2"/>
      <c r="AG33" s="2"/>
      <c r="AH33" s="2"/>
      <c r="AI33" s="2"/>
      <c r="AJ33" s="2"/>
      <c r="AK33" s="2"/>
    </row>
    <row r="34" spans="1:37" ht="13.8" x14ac:dyDescent="0.3">
      <c r="A34" s="51" t="s">
        <v>36</v>
      </c>
      <c r="B34" s="48" t="s">
        <v>18</v>
      </c>
      <c r="C34" s="21">
        <v>0.125</v>
      </c>
      <c r="D34" s="22">
        <v>0</v>
      </c>
      <c r="E34" s="22">
        <v>1</v>
      </c>
      <c r="F34" s="22">
        <v>0.125</v>
      </c>
      <c r="G34" s="22">
        <v>0.125</v>
      </c>
      <c r="H34" s="22">
        <v>1.1363625E-2</v>
      </c>
      <c r="I34" s="22"/>
      <c r="J34" s="22"/>
      <c r="K34" s="22"/>
      <c r="L34" s="22"/>
      <c r="M34" s="22"/>
      <c r="N34" s="22"/>
      <c r="O34" s="2"/>
      <c r="P34" s="2"/>
      <c r="Q34" s="2"/>
      <c r="R34" s="2"/>
      <c r="S34" s="2"/>
      <c r="T34" s="2"/>
      <c r="U34" s="2"/>
      <c r="V34" s="2"/>
      <c r="W34" s="2"/>
      <c r="X34" s="2"/>
      <c r="Y34" s="2"/>
      <c r="Z34" s="2"/>
      <c r="AA34" s="2"/>
      <c r="AB34" s="2"/>
      <c r="AC34" s="2"/>
      <c r="AD34" s="2"/>
      <c r="AE34" s="2"/>
      <c r="AF34" s="2"/>
      <c r="AG34" s="2"/>
      <c r="AH34" s="2"/>
      <c r="AI34" s="2"/>
      <c r="AJ34" s="2"/>
      <c r="AK34" s="2"/>
    </row>
    <row r="35" spans="1:37" ht="13.8" x14ac:dyDescent="0.3">
      <c r="A35" s="51">
        <v>3</v>
      </c>
      <c r="B35" s="48" t="s">
        <v>21</v>
      </c>
      <c r="C35" s="21">
        <v>0.63749999999999996</v>
      </c>
      <c r="D35" s="22">
        <v>0.125</v>
      </c>
      <c r="E35" s="22">
        <v>0.125</v>
      </c>
      <c r="F35" s="22">
        <v>0.45624999999999993</v>
      </c>
      <c r="G35" s="22">
        <v>6.25E-2</v>
      </c>
      <c r="H35" s="22">
        <v>1.704613114916731E-2</v>
      </c>
      <c r="I35" s="22"/>
      <c r="J35" s="22"/>
      <c r="K35" s="22"/>
      <c r="L35" s="22"/>
      <c r="M35" s="22"/>
      <c r="N35" s="22"/>
      <c r="O35" s="2"/>
      <c r="P35" s="4"/>
      <c r="Q35" s="2"/>
      <c r="R35" s="2"/>
      <c r="S35" s="2"/>
      <c r="T35" s="2"/>
      <c r="U35" s="2"/>
      <c r="V35" s="2"/>
      <c r="W35" s="2"/>
      <c r="X35" s="2"/>
      <c r="Y35" s="2"/>
      <c r="Z35" s="2"/>
      <c r="AA35" s="2"/>
      <c r="AB35" s="2"/>
      <c r="AC35" s="2"/>
      <c r="AD35" s="2"/>
      <c r="AE35" s="2"/>
      <c r="AF35" s="2"/>
      <c r="AG35" s="2"/>
      <c r="AH35" s="2"/>
      <c r="AI35" s="2"/>
      <c r="AJ35" s="2"/>
      <c r="AK35" s="2"/>
    </row>
    <row r="36" spans="1:37" ht="13.8" x14ac:dyDescent="0.3">
      <c r="A36" s="51"/>
      <c r="B36" s="48" t="s">
        <v>22</v>
      </c>
      <c r="C36" s="21">
        <v>6.25E-2</v>
      </c>
      <c r="D36" s="22">
        <v>0</v>
      </c>
      <c r="E36" s="22">
        <v>0.125</v>
      </c>
      <c r="F36" s="22">
        <v>6.25E-2</v>
      </c>
      <c r="G36" s="22">
        <v>0.21388888888888891</v>
      </c>
      <c r="H36" s="22">
        <v>5.6818125000000002E-3</v>
      </c>
      <c r="I36" s="22"/>
      <c r="J36" s="22"/>
      <c r="K36" s="22"/>
      <c r="L36" s="22"/>
      <c r="M36" s="22"/>
      <c r="N36" s="22"/>
      <c r="O36" s="2"/>
      <c r="P36" s="2"/>
      <c r="Q36" s="5"/>
      <c r="R36" s="2"/>
      <c r="S36" s="2"/>
      <c r="T36" s="2"/>
      <c r="U36" s="2"/>
      <c r="V36" s="2"/>
      <c r="W36" s="2"/>
      <c r="X36" s="2"/>
      <c r="Y36" s="2"/>
      <c r="Z36" s="2"/>
      <c r="AA36" s="2"/>
      <c r="AB36" s="2"/>
      <c r="AC36" s="2"/>
      <c r="AD36" s="2"/>
      <c r="AE36" s="2"/>
      <c r="AF36" s="2"/>
      <c r="AG36" s="2"/>
      <c r="AH36" s="2"/>
      <c r="AI36" s="2"/>
      <c r="AJ36" s="2"/>
      <c r="AK36" s="2"/>
    </row>
    <row r="37" spans="1:37" ht="13.8" x14ac:dyDescent="0.3">
      <c r="A37" s="52" t="s">
        <v>31</v>
      </c>
      <c r="B37" s="48" t="s">
        <v>68</v>
      </c>
      <c r="C37" s="21">
        <v>1.1364012298334621E-2</v>
      </c>
      <c r="D37" s="22">
        <v>1.1363625E-2</v>
      </c>
      <c r="E37" s="22">
        <v>1.1363625E-2</v>
      </c>
      <c r="F37" s="22">
        <v>1.704613114916731E-2</v>
      </c>
      <c r="G37" s="22">
        <v>5.6818125000000002E-3</v>
      </c>
      <c r="H37" s="22">
        <v>1.1363625001000001E-2</v>
      </c>
      <c r="I37" s="22"/>
      <c r="J37" s="22"/>
      <c r="K37" s="22"/>
      <c r="L37" s="22"/>
      <c r="M37" s="22"/>
      <c r="N37" s="22"/>
      <c r="O37" s="2"/>
      <c r="P37" s="2"/>
      <c r="Q37" s="5"/>
      <c r="R37" s="2"/>
      <c r="S37" s="2"/>
      <c r="T37" s="2"/>
      <c r="U37" s="2"/>
      <c r="V37" s="2"/>
      <c r="W37" s="2"/>
      <c r="X37" s="2"/>
      <c r="Y37" s="2"/>
      <c r="Z37" s="2"/>
      <c r="AA37" s="2"/>
      <c r="AB37" s="2"/>
      <c r="AC37" s="2"/>
      <c r="AD37" s="2"/>
      <c r="AE37" s="2"/>
      <c r="AF37" s="2"/>
      <c r="AG37" s="2"/>
      <c r="AH37" s="2"/>
      <c r="AI37" s="2"/>
      <c r="AJ37" s="2"/>
      <c r="AK37" s="2"/>
    </row>
    <row r="38" spans="1:37" ht="13.8" x14ac:dyDescent="0.3">
      <c r="A38" s="58">
        <v>0.73242456008559886</v>
      </c>
      <c r="B38" s="48"/>
      <c r="C38" s="21"/>
      <c r="D38" s="22"/>
      <c r="E38" s="22"/>
      <c r="F38" s="22"/>
      <c r="G38" s="22"/>
      <c r="H38" s="22"/>
      <c r="I38" s="22"/>
      <c r="J38" s="22"/>
      <c r="K38" s="22"/>
      <c r="L38" s="22"/>
      <c r="M38" s="22"/>
      <c r="N38" s="22"/>
      <c r="O38" s="2"/>
      <c r="P38" s="2"/>
      <c r="Q38" s="2"/>
      <c r="R38" s="2"/>
      <c r="S38" s="2"/>
      <c r="T38" s="2"/>
      <c r="U38" s="2"/>
      <c r="V38" s="2"/>
      <c r="W38" s="2"/>
      <c r="X38" s="2"/>
      <c r="Y38" s="2"/>
      <c r="Z38" s="2"/>
      <c r="AA38" s="2"/>
      <c r="AB38" s="2"/>
      <c r="AC38" s="2"/>
      <c r="AD38" s="2"/>
      <c r="AE38" s="2"/>
      <c r="AF38" s="2"/>
      <c r="AG38" s="2"/>
      <c r="AH38" s="2"/>
      <c r="AI38" s="2"/>
      <c r="AJ38" s="2"/>
      <c r="AK38" s="2"/>
    </row>
    <row r="39" spans="1:37" ht="13.8" x14ac:dyDescent="0.3">
      <c r="A39" s="69"/>
      <c r="B39" s="48"/>
      <c r="C39" s="21"/>
      <c r="D39" s="22"/>
      <c r="E39" s="22"/>
      <c r="F39" s="22"/>
      <c r="G39" s="22"/>
      <c r="H39" s="22"/>
      <c r="I39" s="22"/>
      <c r="J39" s="22"/>
      <c r="K39" s="22"/>
      <c r="L39" s="22"/>
      <c r="M39" s="22"/>
      <c r="N39" s="22"/>
      <c r="O39" s="2"/>
      <c r="P39" s="2"/>
      <c r="Q39" s="2"/>
      <c r="R39" s="2"/>
      <c r="S39" s="2"/>
      <c r="T39" s="2"/>
      <c r="U39" s="2"/>
      <c r="V39" s="2"/>
      <c r="W39" s="2"/>
      <c r="X39" s="2"/>
      <c r="Y39" s="2"/>
      <c r="Z39" s="2"/>
      <c r="AA39" s="2"/>
      <c r="AB39" s="2"/>
      <c r="AC39" s="2"/>
      <c r="AD39" s="2"/>
      <c r="AE39" s="2"/>
      <c r="AF39" s="2"/>
      <c r="AG39" s="2"/>
      <c r="AH39" s="2"/>
      <c r="AI39" s="2"/>
      <c r="AJ39" s="2"/>
      <c r="AK39" s="2"/>
    </row>
    <row r="40" spans="1:37" ht="13.8" x14ac:dyDescent="0.3">
      <c r="A40" s="67"/>
      <c r="B40" s="48"/>
      <c r="C40" s="21"/>
      <c r="D40" s="22"/>
      <c r="E40" s="22"/>
      <c r="F40" s="22"/>
      <c r="G40" s="22"/>
      <c r="H40" s="22"/>
      <c r="I40" s="22"/>
      <c r="J40" s="22"/>
      <c r="K40" s="22"/>
      <c r="L40" s="22"/>
      <c r="M40" s="22"/>
      <c r="N40" s="22"/>
      <c r="O40" s="2"/>
      <c r="P40" s="2"/>
      <c r="Q40" s="2"/>
      <c r="R40" s="2"/>
      <c r="S40" s="2"/>
      <c r="T40" s="2"/>
      <c r="U40" s="2"/>
      <c r="V40" s="2"/>
      <c r="W40" s="2"/>
      <c r="X40" s="2"/>
      <c r="Y40" s="2"/>
      <c r="Z40" s="2"/>
      <c r="AA40" s="2"/>
      <c r="AB40" s="2"/>
      <c r="AC40" s="2"/>
      <c r="AD40" s="2"/>
      <c r="AE40" s="2"/>
      <c r="AF40" s="2"/>
      <c r="AG40" s="2"/>
      <c r="AH40" s="2"/>
      <c r="AI40" s="2"/>
      <c r="AJ40" s="2"/>
      <c r="AK40" s="2"/>
    </row>
    <row r="41" spans="1:37" ht="13.8" x14ac:dyDescent="0.3">
      <c r="A41" s="67"/>
      <c r="B41" s="48"/>
      <c r="C41" s="21"/>
      <c r="D41" s="22"/>
      <c r="E41" s="22"/>
      <c r="F41" s="22"/>
      <c r="G41" s="22"/>
      <c r="H41" s="22"/>
      <c r="I41" s="22"/>
      <c r="J41" s="22"/>
      <c r="K41" s="22"/>
      <c r="L41" s="22"/>
      <c r="M41" s="22"/>
      <c r="N41" s="22"/>
      <c r="O41" s="2"/>
      <c r="P41" s="2"/>
      <c r="Q41" s="2"/>
      <c r="R41" s="2"/>
      <c r="S41" s="2"/>
      <c r="T41" s="2"/>
      <c r="U41" s="2"/>
      <c r="V41" s="2"/>
      <c r="W41" s="2"/>
      <c r="X41" s="2"/>
      <c r="Y41" s="2"/>
      <c r="Z41" s="2"/>
      <c r="AA41" s="2"/>
      <c r="AB41" s="2"/>
      <c r="AC41" s="2"/>
      <c r="AD41" s="2"/>
      <c r="AE41" s="2"/>
      <c r="AF41" s="2"/>
      <c r="AG41" s="2"/>
      <c r="AH41" s="2"/>
      <c r="AI41" s="2"/>
      <c r="AJ41" s="2"/>
      <c r="AK41" s="2"/>
    </row>
    <row r="42" spans="1:37" ht="13.8" x14ac:dyDescent="0.3">
      <c r="A42" s="67"/>
      <c r="B42" s="48"/>
      <c r="C42" s="21"/>
      <c r="D42" s="22"/>
      <c r="E42" s="22"/>
      <c r="F42" s="22"/>
      <c r="G42" s="22"/>
      <c r="H42" s="22"/>
      <c r="I42" s="22"/>
      <c r="J42" s="22"/>
      <c r="K42" s="22"/>
      <c r="L42" s="22"/>
      <c r="M42" s="22"/>
      <c r="N42" s="22"/>
      <c r="O42" s="2"/>
      <c r="P42" s="2"/>
      <c r="Q42" s="2"/>
      <c r="R42" s="2"/>
      <c r="S42" s="2"/>
      <c r="T42" s="2"/>
      <c r="U42" s="2"/>
      <c r="V42" s="2"/>
      <c r="W42" s="2"/>
      <c r="X42" s="2"/>
      <c r="Y42" s="2"/>
      <c r="Z42" s="2"/>
      <c r="AA42" s="2"/>
      <c r="AB42" s="2"/>
      <c r="AC42" s="2"/>
      <c r="AD42" s="2"/>
      <c r="AE42" s="2"/>
      <c r="AF42" s="2"/>
      <c r="AG42" s="2"/>
      <c r="AH42" s="2"/>
      <c r="AI42" s="2"/>
      <c r="AJ42" s="2"/>
      <c r="AK42" s="2"/>
    </row>
    <row r="43" spans="1:37" ht="13.8" x14ac:dyDescent="0.3">
      <c r="A43" s="67"/>
      <c r="B43" s="48"/>
      <c r="C43" s="24"/>
      <c r="D43" s="12"/>
      <c r="E43" s="12"/>
      <c r="F43" s="12"/>
      <c r="G43" s="12"/>
      <c r="H43" s="12"/>
      <c r="I43" s="12"/>
      <c r="J43" s="12"/>
      <c r="K43" s="12"/>
      <c r="L43" s="12"/>
      <c r="M43" s="12"/>
      <c r="N43" s="12"/>
      <c r="O43" s="2"/>
      <c r="P43" s="2"/>
      <c r="Q43" s="2"/>
      <c r="R43" s="2"/>
      <c r="S43" s="2"/>
      <c r="T43" s="2"/>
      <c r="U43" s="2"/>
      <c r="V43" s="2"/>
      <c r="W43" s="2"/>
      <c r="X43" s="2"/>
      <c r="Y43" s="2"/>
      <c r="Z43" s="2"/>
      <c r="AA43" s="2"/>
      <c r="AB43" s="2"/>
      <c r="AC43" s="2"/>
      <c r="AD43" s="2"/>
      <c r="AE43" s="2"/>
      <c r="AF43" s="2"/>
      <c r="AG43" s="2"/>
      <c r="AH43" s="2"/>
      <c r="AI43" s="2"/>
      <c r="AJ43" s="2"/>
      <c r="AK43" s="2"/>
    </row>
    <row r="44" spans="1:37" x14ac:dyDescent="0.25">
      <c r="A44" s="67"/>
      <c r="B44" s="42"/>
      <c r="C44" s="3"/>
      <c r="D44" s="3"/>
      <c r="E44" s="3"/>
      <c r="F44" s="3"/>
      <c r="G44" s="3"/>
      <c r="H44" s="2"/>
      <c r="I44" s="2"/>
      <c r="J44" s="2"/>
      <c r="K44" s="3"/>
      <c r="L44" s="3"/>
      <c r="M44" s="2"/>
      <c r="N44" s="2"/>
      <c r="O44" s="2"/>
      <c r="P44" s="2"/>
      <c r="Q44" s="2"/>
      <c r="R44" s="2"/>
      <c r="S44" s="2"/>
      <c r="T44" s="2"/>
      <c r="U44" s="2"/>
      <c r="V44" s="2"/>
      <c r="W44" s="2"/>
      <c r="X44" s="2"/>
      <c r="Y44" s="2"/>
      <c r="Z44" s="2"/>
      <c r="AA44" s="2"/>
      <c r="AB44" s="2"/>
      <c r="AC44" s="2"/>
      <c r="AD44" s="2"/>
      <c r="AE44" s="2"/>
      <c r="AF44" s="2"/>
      <c r="AG44" s="2"/>
      <c r="AH44" s="2"/>
      <c r="AI44" s="2"/>
      <c r="AJ44" s="2"/>
      <c r="AK44" s="2"/>
    </row>
    <row r="45" spans="1:37" x14ac:dyDescent="0.25">
      <c r="A45" s="68"/>
      <c r="B45" s="42"/>
      <c r="C45" s="54" t="s">
        <v>39</v>
      </c>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row>
    <row r="46" spans="1:37" ht="13.8" x14ac:dyDescent="0.3">
      <c r="A46" s="51" t="s">
        <v>37</v>
      </c>
      <c r="B46" s="42" t="s">
        <v>19</v>
      </c>
      <c r="C46" s="63">
        <v>6.25E-2</v>
      </c>
      <c r="D46" s="64">
        <v>0</v>
      </c>
      <c r="E46" s="64">
        <v>0.125</v>
      </c>
      <c r="F46" s="64">
        <v>6.25E-2</v>
      </c>
      <c r="G46" s="64">
        <v>6.25E-2</v>
      </c>
      <c r="H46" s="64">
        <v>5.6818125000000002E-3</v>
      </c>
      <c r="I46" s="64"/>
      <c r="J46" s="64"/>
      <c r="K46" s="64"/>
      <c r="L46" s="64"/>
      <c r="M46" s="64"/>
      <c r="N46" s="64"/>
      <c r="O46" s="2"/>
      <c r="P46" s="2"/>
      <c r="Q46" s="2"/>
      <c r="R46" s="2"/>
      <c r="S46" s="2"/>
      <c r="T46" s="2"/>
      <c r="U46" s="2"/>
      <c r="V46" s="2"/>
      <c r="W46" s="2"/>
      <c r="X46" s="2"/>
      <c r="Y46" s="2"/>
      <c r="Z46" s="2"/>
      <c r="AA46" s="2"/>
      <c r="AB46" s="2"/>
      <c r="AC46" s="2"/>
      <c r="AD46" s="2"/>
      <c r="AE46" s="2"/>
      <c r="AF46" s="2"/>
      <c r="AG46" s="2"/>
      <c r="AH46" s="2"/>
      <c r="AI46" s="2"/>
      <c r="AJ46" s="2"/>
      <c r="AK46" s="2"/>
    </row>
    <row r="47" spans="1:37" ht="13.8" x14ac:dyDescent="0.3">
      <c r="A47" s="51">
        <v>12</v>
      </c>
      <c r="B47" s="42" t="s">
        <v>20</v>
      </c>
      <c r="C47" s="21">
        <v>0</v>
      </c>
      <c r="D47" s="22">
        <v>0</v>
      </c>
      <c r="E47" s="22">
        <v>0</v>
      </c>
      <c r="F47" s="22">
        <v>0.125</v>
      </c>
      <c r="G47" s="22">
        <v>0</v>
      </c>
      <c r="H47" s="22">
        <v>0</v>
      </c>
      <c r="I47" s="22"/>
      <c r="J47" s="22"/>
      <c r="K47" s="22"/>
      <c r="L47" s="22"/>
      <c r="M47" s="22"/>
      <c r="N47" s="22"/>
      <c r="O47" s="2"/>
      <c r="P47" s="2"/>
      <c r="Q47" s="2"/>
      <c r="R47" s="2"/>
      <c r="S47" s="2"/>
      <c r="T47" s="2"/>
      <c r="U47" s="2"/>
      <c r="V47" s="2"/>
      <c r="W47" s="2"/>
      <c r="X47" s="2"/>
      <c r="Y47" s="2"/>
      <c r="Z47" s="2"/>
      <c r="AA47" s="2"/>
      <c r="AB47" s="2"/>
      <c r="AC47" s="2"/>
      <c r="AD47" s="2"/>
      <c r="AE47" s="2"/>
      <c r="AF47" s="2"/>
      <c r="AG47" s="2"/>
      <c r="AH47" s="2"/>
      <c r="AI47" s="2"/>
      <c r="AJ47" s="2"/>
      <c r="AK47" s="2"/>
    </row>
    <row r="48" spans="1:37" ht="13.8" x14ac:dyDescent="0.3">
      <c r="A48" s="51"/>
      <c r="B48" s="42" t="s">
        <v>18</v>
      </c>
      <c r="C48" s="21">
        <v>0.125</v>
      </c>
      <c r="D48" s="22">
        <v>0</v>
      </c>
      <c r="E48" s="22">
        <v>1</v>
      </c>
      <c r="F48" s="22">
        <v>0.125</v>
      </c>
      <c r="G48" s="22">
        <v>0.125</v>
      </c>
      <c r="H48" s="22">
        <v>1.1363625E-2</v>
      </c>
      <c r="I48" s="22"/>
      <c r="J48" s="22"/>
      <c r="K48" s="22"/>
      <c r="L48" s="22"/>
      <c r="M48" s="22"/>
      <c r="N48" s="22"/>
      <c r="O48" s="2"/>
      <c r="P48" s="2"/>
      <c r="Q48" s="2"/>
      <c r="R48" s="2"/>
      <c r="S48" s="2"/>
      <c r="T48" s="2"/>
      <c r="U48" s="2"/>
      <c r="V48" s="2"/>
      <c r="W48" s="2"/>
      <c r="X48" s="2"/>
      <c r="Y48" s="2"/>
      <c r="Z48" s="2"/>
    </row>
    <row r="49" spans="1:26" ht="13.8" x14ac:dyDescent="0.3">
      <c r="A49" s="52" t="s">
        <v>30</v>
      </c>
      <c r="B49" s="42" t="s">
        <v>21</v>
      </c>
      <c r="C49" s="21">
        <v>6.25E-2</v>
      </c>
      <c r="D49" s="22">
        <v>0.125</v>
      </c>
      <c r="E49" s="22">
        <v>0.125</v>
      </c>
      <c r="F49" s="22">
        <v>6.25E-2</v>
      </c>
      <c r="G49" s="22">
        <v>6.25E-2</v>
      </c>
      <c r="H49" s="22">
        <v>5.6818125000000002E-3</v>
      </c>
      <c r="I49" s="22"/>
      <c r="J49" s="22"/>
      <c r="K49" s="22"/>
      <c r="L49" s="22"/>
      <c r="M49" s="22"/>
      <c r="N49" s="22"/>
      <c r="O49" s="2"/>
      <c r="P49" s="2"/>
      <c r="Q49" s="2"/>
      <c r="R49" s="2"/>
      <c r="S49" s="2"/>
      <c r="T49" s="2"/>
      <c r="U49" s="2"/>
      <c r="V49" s="2"/>
      <c r="W49" s="2"/>
      <c r="X49" s="2"/>
      <c r="Y49" s="2"/>
      <c r="Z49" s="2"/>
    </row>
    <row r="50" spans="1:26" ht="13.8" x14ac:dyDescent="0.3">
      <c r="A50" s="53">
        <v>0.33597322786540945</v>
      </c>
      <c r="B50" s="42" t="s">
        <v>22</v>
      </c>
      <c r="C50" s="21">
        <v>6.25E-2</v>
      </c>
      <c r="D50" s="22">
        <v>0</v>
      </c>
      <c r="E50" s="22">
        <v>0.125</v>
      </c>
      <c r="F50" s="22">
        <v>6.25E-2</v>
      </c>
      <c r="G50" s="22">
        <v>0.20231481481481484</v>
      </c>
      <c r="H50" s="22">
        <v>5.6818125000000002E-3</v>
      </c>
      <c r="I50" s="22"/>
      <c r="J50" s="22"/>
      <c r="K50" s="22"/>
      <c r="L50" s="22"/>
      <c r="M50" s="22"/>
      <c r="N50" s="22"/>
      <c r="O50" s="2"/>
      <c r="P50" s="2"/>
      <c r="Q50" s="2"/>
      <c r="R50" s="2"/>
      <c r="S50" s="2"/>
      <c r="T50" s="2"/>
      <c r="U50" s="2"/>
      <c r="V50" s="2"/>
      <c r="W50" s="2"/>
      <c r="X50" s="2"/>
      <c r="Y50" s="2"/>
      <c r="Z50" s="2"/>
    </row>
    <row r="51" spans="1:26" ht="13.8" x14ac:dyDescent="0.3">
      <c r="A51" s="1"/>
      <c r="B51" s="47" t="s">
        <v>68</v>
      </c>
      <c r="C51" s="21">
        <v>5.6818125000000002E-3</v>
      </c>
      <c r="D51" s="22">
        <v>0</v>
      </c>
      <c r="E51" s="22">
        <v>1.1363625E-2</v>
      </c>
      <c r="F51" s="22">
        <v>5.6818125000000002E-3</v>
      </c>
      <c r="G51" s="22">
        <v>5.6818125000000002E-3</v>
      </c>
      <c r="H51" s="22">
        <v>5.6818125000000002E-3</v>
      </c>
      <c r="I51" s="22"/>
      <c r="J51" s="22"/>
      <c r="K51" s="22"/>
      <c r="L51" s="22"/>
      <c r="M51" s="22"/>
      <c r="N51" s="22"/>
      <c r="O51" s="2"/>
      <c r="P51" s="2"/>
      <c r="Q51" s="2"/>
      <c r="R51" s="2"/>
      <c r="S51" s="2"/>
      <c r="T51" s="2"/>
      <c r="U51" s="2"/>
      <c r="V51" s="2"/>
      <c r="W51" s="2"/>
      <c r="X51" s="2"/>
      <c r="Y51" s="2"/>
      <c r="Z51" s="2"/>
    </row>
    <row r="52" spans="1:26" ht="13.8" x14ac:dyDescent="0.3">
      <c r="A52" s="1"/>
      <c r="B52" s="47"/>
      <c r="C52" s="21"/>
      <c r="D52" s="22"/>
      <c r="E52" s="22"/>
      <c r="F52" s="22"/>
      <c r="G52" s="22"/>
      <c r="H52" s="22"/>
      <c r="I52" s="22"/>
      <c r="J52" s="22"/>
      <c r="K52" s="22"/>
      <c r="L52" s="22"/>
      <c r="M52" s="22"/>
      <c r="N52" s="22"/>
      <c r="O52" s="2"/>
      <c r="P52" s="2"/>
      <c r="Q52" s="2"/>
      <c r="R52" s="2"/>
      <c r="S52" s="2"/>
      <c r="T52" s="2"/>
      <c r="U52" s="2"/>
      <c r="V52" s="2"/>
      <c r="W52" s="2"/>
      <c r="X52" s="2"/>
      <c r="Y52" s="2"/>
      <c r="Z52" s="2"/>
    </row>
    <row r="53" spans="1:26" ht="13.8" x14ac:dyDescent="0.3">
      <c r="A53" s="1"/>
      <c r="B53" s="47"/>
      <c r="C53" s="21"/>
      <c r="D53" s="22"/>
      <c r="E53" s="22"/>
      <c r="F53" s="22"/>
      <c r="G53" s="22"/>
      <c r="H53" s="22"/>
      <c r="I53" s="22"/>
      <c r="J53" s="22"/>
      <c r="K53" s="22"/>
      <c r="L53" s="22"/>
      <c r="M53" s="22"/>
      <c r="N53" s="22"/>
      <c r="O53" s="2"/>
      <c r="P53" s="2"/>
      <c r="Q53" s="2"/>
      <c r="R53" s="2"/>
      <c r="S53" s="2"/>
      <c r="T53" s="2"/>
      <c r="U53" s="2"/>
      <c r="V53" s="2"/>
      <c r="W53" s="2"/>
      <c r="X53" s="2"/>
      <c r="Y53" s="2"/>
      <c r="Z53" s="2"/>
    </row>
    <row r="54" spans="1:26" ht="13.8" x14ac:dyDescent="0.3">
      <c r="A54" s="1"/>
      <c r="B54" s="47"/>
      <c r="C54" s="21"/>
      <c r="D54" s="22"/>
      <c r="E54" s="22"/>
      <c r="F54" s="22"/>
      <c r="G54" s="22"/>
      <c r="H54" s="22"/>
      <c r="I54" s="22"/>
      <c r="J54" s="22"/>
      <c r="K54" s="22"/>
      <c r="L54" s="22"/>
      <c r="M54" s="22"/>
      <c r="N54" s="22"/>
      <c r="O54" s="2"/>
      <c r="P54" s="2"/>
      <c r="Q54" s="2"/>
      <c r="R54" s="2"/>
      <c r="S54" s="2"/>
      <c r="T54" s="2"/>
      <c r="U54" s="2"/>
      <c r="V54" s="2"/>
      <c r="W54" s="2"/>
      <c r="X54" s="2"/>
      <c r="Y54" s="2"/>
      <c r="Z54" s="2"/>
    </row>
    <row r="55" spans="1:26" ht="13.8" x14ac:dyDescent="0.3">
      <c r="A55" s="1"/>
      <c r="B55" s="47"/>
      <c r="C55" s="21"/>
      <c r="D55" s="22"/>
      <c r="E55" s="22"/>
      <c r="F55" s="22"/>
      <c r="G55" s="22"/>
      <c r="H55" s="22"/>
      <c r="I55" s="22"/>
      <c r="J55" s="22"/>
      <c r="K55" s="22"/>
      <c r="L55" s="22"/>
      <c r="M55" s="22"/>
      <c r="N55" s="22"/>
      <c r="O55" s="2"/>
      <c r="P55" s="2"/>
      <c r="Q55" s="2"/>
      <c r="R55" s="2"/>
      <c r="S55" s="2"/>
      <c r="T55" s="2"/>
      <c r="U55" s="2"/>
      <c r="V55" s="2"/>
      <c r="W55" s="2"/>
      <c r="X55" s="2"/>
      <c r="Y55" s="2"/>
      <c r="Z55" s="2"/>
    </row>
    <row r="56" spans="1:26" ht="13.8" x14ac:dyDescent="0.3">
      <c r="A56" s="1"/>
      <c r="B56" s="47"/>
      <c r="C56" s="21"/>
      <c r="D56" s="22"/>
      <c r="E56" s="22"/>
      <c r="F56" s="22"/>
      <c r="G56" s="22"/>
      <c r="H56" s="22"/>
      <c r="I56" s="22"/>
      <c r="J56" s="22"/>
      <c r="K56" s="22"/>
      <c r="L56" s="22"/>
      <c r="M56" s="22"/>
      <c r="N56" s="22"/>
      <c r="O56" s="2"/>
      <c r="P56" s="2"/>
      <c r="Q56" s="2"/>
      <c r="R56" s="2"/>
      <c r="S56" s="2"/>
      <c r="T56" s="2"/>
      <c r="U56" s="2"/>
      <c r="V56" s="2"/>
      <c r="W56" s="2"/>
      <c r="X56" s="2"/>
      <c r="Y56" s="2"/>
      <c r="Z56" s="2"/>
    </row>
    <row r="57" spans="1:26" ht="13.8" x14ac:dyDescent="0.3">
      <c r="A57" s="2"/>
      <c r="B57" s="47"/>
      <c r="C57" s="24"/>
      <c r="D57" s="12"/>
      <c r="E57" s="12"/>
      <c r="F57" s="12"/>
      <c r="G57" s="12"/>
      <c r="H57" s="12"/>
      <c r="I57" s="12"/>
      <c r="J57" s="12"/>
      <c r="K57" s="12"/>
      <c r="L57" s="12"/>
      <c r="M57" s="12"/>
      <c r="N57" s="12"/>
      <c r="O57" s="2"/>
      <c r="P57" s="2"/>
      <c r="Q57" s="2"/>
      <c r="R57" s="2"/>
      <c r="S57" s="2"/>
      <c r="T57" s="2"/>
      <c r="U57" s="2"/>
      <c r="V57" s="2"/>
      <c r="W57" s="2"/>
      <c r="X57" s="2"/>
      <c r="Y57" s="2"/>
      <c r="Z57" s="2"/>
    </row>
    <row r="58" spans="1:26" x14ac:dyDescent="0.25">
      <c r="A58" s="2"/>
      <c r="B58" s="10"/>
      <c r="C58" s="2"/>
      <c r="D58" s="2"/>
      <c r="E58" s="2"/>
      <c r="F58" s="2"/>
      <c r="G58" s="2"/>
      <c r="H58" s="2"/>
      <c r="I58" s="2"/>
      <c r="J58" s="2"/>
      <c r="K58" s="2"/>
      <c r="L58" s="2"/>
      <c r="M58" s="2"/>
      <c r="N58" s="2"/>
      <c r="O58" s="2"/>
      <c r="P58" s="2"/>
      <c r="Q58" s="2"/>
      <c r="R58" s="2"/>
      <c r="S58" s="2"/>
      <c r="T58" s="2"/>
      <c r="U58" s="2"/>
    </row>
    <row r="59" spans="1:26" x14ac:dyDescent="0.25">
      <c r="A59" s="2"/>
      <c r="B59" s="10"/>
      <c r="C59" s="2"/>
      <c r="D59" s="2"/>
      <c r="E59" s="2"/>
      <c r="F59" s="2"/>
      <c r="G59" s="2"/>
      <c r="H59" s="2"/>
      <c r="I59" s="2"/>
      <c r="J59" s="2"/>
      <c r="K59" s="2"/>
      <c r="L59" s="2"/>
      <c r="M59" s="2"/>
      <c r="N59" s="2"/>
      <c r="O59" s="2"/>
      <c r="P59" s="2"/>
      <c r="Q59" s="2"/>
      <c r="R59" s="2"/>
      <c r="S59" s="2"/>
      <c r="T59" s="2"/>
      <c r="U59" s="2"/>
    </row>
    <row r="60" spans="1:26" x14ac:dyDescent="0.25">
      <c r="A60" s="2"/>
      <c r="B60" s="2"/>
      <c r="C60" s="2"/>
      <c r="D60" s="2"/>
      <c r="E60" s="2"/>
      <c r="F60" s="2"/>
      <c r="G60" s="2"/>
      <c r="H60" s="2"/>
      <c r="I60" s="2"/>
      <c r="J60" s="2"/>
      <c r="K60" s="2"/>
      <c r="L60" s="2"/>
      <c r="M60" s="2"/>
      <c r="N60" s="2"/>
      <c r="O60" s="2"/>
      <c r="P60" s="2"/>
      <c r="Q60" s="2"/>
      <c r="R60" s="2"/>
      <c r="S60" s="2"/>
      <c r="T60" s="2"/>
      <c r="U60" s="2"/>
    </row>
    <row r="61" spans="1:26" x14ac:dyDescent="0.25">
      <c r="A61" s="2"/>
      <c r="B61" s="2"/>
      <c r="C61" s="2"/>
      <c r="D61" s="2"/>
      <c r="E61" s="2"/>
      <c r="F61" s="2"/>
      <c r="G61" s="2"/>
      <c r="H61" s="2"/>
      <c r="I61" s="2"/>
      <c r="J61" s="2"/>
      <c r="K61" s="2"/>
      <c r="L61" s="2"/>
      <c r="M61" s="2"/>
      <c r="N61" s="2"/>
      <c r="O61" s="2"/>
      <c r="Q61" s="2"/>
      <c r="R61" s="2"/>
      <c r="S61" s="2"/>
      <c r="T61" s="2"/>
      <c r="U61" s="2"/>
    </row>
    <row r="62" spans="1:26" x14ac:dyDescent="0.25">
      <c r="A62" s="2"/>
      <c r="B62" s="2"/>
      <c r="C62" s="2"/>
      <c r="D62" s="2"/>
      <c r="E62" s="2"/>
      <c r="F62" s="2"/>
      <c r="G62" s="2"/>
      <c r="H62" s="2"/>
      <c r="Q62" s="2"/>
      <c r="R62" s="2"/>
      <c r="S62" s="2"/>
      <c r="T62" s="2"/>
    </row>
    <row r="63" spans="1:26" x14ac:dyDescent="0.25">
      <c r="A63" s="2"/>
      <c r="B63" s="2"/>
      <c r="C63" s="2"/>
      <c r="D63" s="2"/>
      <c r="E63" s="2"/>
      <c r="F63" s="2"/>
      <c r="G63" s="2"/>
      <c r="H63" s="2"/>
      <c r="I63" s="2" t="s">
        <v>29</v>
      </c>
      <c r="J63" s="5">
        <f>SUM(E9:E15)</f>
        <v>0.66436878023880408</v>
      </c>
    </row>
    <row r="64" spans="1:26" x14ac:dyDescent="0.25">
      <c r="A64" s="2"/>
      <c r="B64" s="2"/>
      <c r="C64" s="2"/>
      <c r="D64" s="2"/>
      <c r="E64" s="2"/>
      <c r="F64" s="2"/>
      <c r="G64" s="2"/>
      <c r="H64" s="2"/>
      <c r="I64" s="9" t="s">
        <v>19</v>
      </c>
      <c r="J64" s="8">
        <f t="shared" ref="J64:J71" si="0">(E9/$J$63)*$D$6</f>
        <v>0</v>
      </c>
    </row>
    <row r="65" spans="1:19" x14ac:dyDescent="0.25">
      <c r="A65" s="2"/>
      <c r="B65" s="2"/>
      <c r="C65" s="2"/>
      <c r="D65" s="2"/>
      <c r="E65" s="2"/>
      <c r="F65" s="2"/>
      <c r="G65" s="2"/>
      <c r="H65" s="2"/>
      <c r="I65" s="9" t="s">
        <v>20</v>
      </c>
      <c r="J65" s="8" t="e">
        <f t="shared" si="0"/>
        <v>#VALUE!</v>
      </c>
    </row>
    <row r="66" spans="1:19" x14ac:dyDescent="0.25">
      <c r="A66" s="2"/>
      <c r="B66" s="2"/>
      <c r="C66" s="2"/>
      <c r="D66" s="2"/>
      <c r="E66" s="2"/>
      <c r="F66" s="2"/>
      <c r="G66" s="2"/>
      <c r="H66" s="2"/>
      <c r="I66" s="9" t="s">
        <v>18</v>
      </c>
      <c r="J66" s="8" t="e">
        <f t="shared" si="0"/>
        <v>#VALUE!</v>
      </c>
    </row>
    <row r="67" spans="1:19" x14ac:dyDescent="0.25">
      <c r="A67" s="2"/>
      <c r="B67" s="2"/>
      <c r="C67" s="2"/>
      <c r="D67" s="2"/>
      <c r="E67" s="2"/>
      <c r="F67" s="2"/>
      <c r="G67" s="2"/>
      <c r="H67" s="2"/>
      <c r="I67" s="9" t="s">
        <v>21</v>
      </c>
      <c r="J67" s="8" t="e">
        <f t="shared" si="0"/>
        <v>#VALUE!</v>
      </c>
    </row>
    <row r="68" spans="1:19" x14ac:dyDescent="0.25">
      <c r="B68" s="49" t="s">
        <v>27</v>
      </c>
      <c r="I68" s="9" t="s">
        <v>22</v>
      </c>
      <c r="J68" s="8" t="e">
        <f t="shared" si="0"/>
        <v>#VALUE!</v>
      </c>
    </row>
    <row r="69" spans="1:19" x14ac:dyDescent="0.25">
      <c r="B69" s="49" t="s">
        <v>28</v>
      </c>
      <c r="I69" s="9" t="s">
        <v>23</v>
      </c>
      <c r="J69" s="8" t="e">
        <f t="shared" si="0"/>
        <v>#VALUE!</v>
      </c>
    </row>
    <row r="70" spans="1:19" x14ac:dyDescent="0.25">
      <c r="I70" s="9" t="s">
        <v>24</v>
      </c>
      <c r="J70" s="8">
        <f t="shared" si="0"/>
        <v>0</v>
      </c>
    </row>
    <row r="71" spans="1:19" x14ac:dyDescent="0.25">
      <c r="I71" s="8" t="s">
        <v>25</v>
      </c>
      <c r="J71" s="8">
        <f t="shared" si="0"/>
        <v>0</v>
      </c>
    </row>
    <row r="72" spans="1:19" x14ac:dyDescent="0.25">
      <c r="S72" t="s">
        <v>0</v>
      </c>
    </row>
  </sheetData>
  <phoneticPr fontId="0" type="noConversion"/>
  <dataValidations count="2">
    <dataValidation type="decimal" allowBlank="1" showInputMessage="1" showErrorMessage="1" error="need a value between 0 and 1" sqref="B6">
      <formula1>0</formula1>
      <formula2>0.9999999</formula2>
    </dataValidation>
    <dataValidation type="whole" allowBlank="1" showInputMessage="1" showErrorMessage="1" error="Enter 0 or 1" sqref="C9:C11">
      <formula1>0</formula1>
      <formula2>1</formula2>
    </dataValidation>
  </dataValidations>
  <pageMargins left="0.75" right="0.75" top="1" bottom="1" header="0.5" footer="0.5"/>
  <pageSetup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K57"/>
  <sheetViews>
    <sheetView zoomScale="140" zoomScaleNormal="140" workbookViewId="0">
      <selection activeCell="A18" sqref="A18"/>
    </sheetView>
  </sheetViews>
  <sheetFormatPr defaultRowHeight="13.2" x14ac:dyDescent="0.25"/>
  <cols>
    <col min="1" max="1" width="31.5546875" customWidth="1"/>
    <col min="2" max="2" width="10.5546875" customWidth="1"/>
    <col min="3" max="3" width="10.6640625" customWidth="1"/>
    <col min="4" max="4" width="9.109375" customWidth="1"/>
    <col min="5" max="5" width="8.33203125" customWidth="1"/>
    <col min="7" max="7" width="9.5546875" customWidth="1"/>
    <col min="8" max="8" width="9.6640625" customWidth="1"/>
    <col min="9" max="9" width="16.109375" customWidth="1"/>
    <col min="10" max="10" width="9.33203125" bestFit="1" customWidth="1"/>
    <col min="12" max="12" width="9.5546875" bestFit="1" customWidth="1"/>
    <col min="14" max="14" width="9.5546875" bestFit="1" customWidth="1"/>
    <col min="15" max="15" width="6.6640625" customWidth="1"/>
    <col min="16" max="16" width="11.88671875" customWidth="1"/>
    <col min="17" max="17" width="10.88671875" customWidth="1"/>
    <col min="18" max="18" width="12" customWidth="1"/>
    <col min="19" max="33" width="9.44140625" bestFit="1" customWidth="1"/>
  </cols>
  <sheetData>
    <row r="1" spans="1:37" ht="21" x14ac:dyDescent="0.4">
      <c r="A1" s="26" t="s">
        <v>78</v>
      </c>
      <c r="B1" s="26"/>
      <c r="C1" s="15"/>
      <c r="D1" s="2"/>
      <c r="E1" s="2"/>
      <c r="F1" s="2"/>
      <c r="G1" s="2"/>
      <c r="H1" s="2"/>
      <c r="I1" s="2"/>
      <c r="J1" s="47" t="s">
        <v>66</v>
      </c>
      <c r="K1" s="82" t="s">
        <v>61</v>
      </c>
      <c r="L1" s="10" t="s">
        <v>34</v>
      </c>
      <c r="M1" s="2"/>
      <c r="N1" s="2"/>
      <c r="O1" s="2"/>
      <c r="P1" s="2"/>
      <c r="Q1" s="2"/>
      <c r="R1" s="2"/>
      <c r="S1" s="2"/>
      <c r="T1" s="2"/>
      <c r="U1" s="2"/>
      <c r="V1" s="2"/>
      <c r="W1" s="2"/>
    </row>
    <row r="2" spans="1:37" ht="13.8" x14ac:dyDescent="0.3">
      <c r="A2" s="27" t="s">
        <v>9</v>
      </c>
      <c r="B2" s="28"/>
      <c r="C2" s="15"/>
      <c r="D2" s="15"/>
      <c r="E2" s="2"/>
      <c r="F2" s="2"/>
      <c r="G2" s="2"/>
      <c r="H2" s="2"/>
      <c r="I2" s="2"/>
      <c r="J2" s="93">
        <v>15</v>
      </c>
      <c r="K2" s="99">
        <v>1</v>
      </c>
      <c r="L2" s="100">
        <v>0.63506336829866472</v>
      </c>
      <c r="M2" s="2"/>
      <c r="N2" s="2"/>
      <c r="O2" s="2"/>
      <c r="P2" s="2"/>
      <c r="Q2" s="2"/>
      <c r="R2" s="2"/>
      <c r="S2" s="2"/>
      <c r="T2" s="2"/>
      <c r="U2" s="2"/>
      <c r="V2" s="2"/>
      <c r="W2" s="2"/>
      <c r="X2" s="2"/>
      <c r="Y2" s="2"/>
      <c r="Z2" s="2"/>
      <c r="AA2" s="2"/>
      <c r="AB2" s="2"/>
      <c r="AC2" s="2"/>
      <c r="AD2" s="2"/>
      <c r="AE2" s="2"/>
      <c r="AF2" s="2"/>
      <c r="AG2" s="2"/>
      <c r="AH2" s="2"/>
      <c r="AI2" s="2"/>
      <c r="AJ2" s="2"/>
    </row>
    <row r="3" spans="1:37" ht="13.8" x14ac:dyDescent="0.3">
      <c r="A3" s="29" t="s">
        <v>13</v>
      </c>
      <c r="B3" s="36">
        <v>0.25</v>
      </c>
      <c r="C3" s="17"/>
      <c r="D3" s="15"/>
      <c r="E3" s="2"/>
      <c r="F3" s="1"/>
      <c r="G3" s="2"/>
      <c r="H3" s="1"/>
      <c r="I3" s="2"/>
      <c r="J3" s="1"/>
      <c r="K3" s="99">
        <v>2</v>
      </c>
      <c r="L3" s="100">
        <v>0.65582272000378106</v>
      </c>
      <c r="M3" s="2"/>
      <c r="N3" s="1"/>
      <c r="O3" s="2"/>
      <c r="P3" s="2"/>
      <c r="Q3" s="2"/>
      <c r="R3" s="2"/>
      <c r="S3" s="2"/>
      <c r="T3" s="2"/>
      <c r="U3" s="2"/>
      <c r="V3" s="2"/>
      <c r="W3" s="2"/>
      <c r="X3" s="2"/>
      <c r="Y3" s="2"/>
      <c r="Z3" s="2"/>
      <c r="AA3" s="2"/>
      <c r="AB3" s="2"/>
      <c r="AC3" s="2"/>
      <c r="AD3" s="2"/>
      <c r="AE3" s="2"/>
      <c r="AF3" s="2"/>
      <c r="AG3" s="2"/>
      <c r="AH3" s="2"/>
      <c r="AI3" s="2"/>
      <c r="AJ3" s="2"/>
    </row>
    <row r="4" spans="1:37" ht="13.8" x14ac:dyDescent="0.3">
      <c r="A4" s="29" t="s">
        <v>14</v>
      </c>
      <c r="B4" s="36">
        <v>0.25</v>
      </c>
      <c r="C4" s="17"/>
      <c r="D4" s="15"/>
      <c r="E4" s="2"/>
      <c r="F4" s="1"/>
      <c r="G4" s="2"/>
      <c r="H4" s="1"/>
      <c r="I4" s="2"/>
      <c r="J4" s="1"/>
      <c r="K4" s="99">
        <v>3</v>
      </c>
      <c r="L4" s="100">
        <v>0.65947032083657098</v>
      </c>
      <c r="M4" s="2"/>
      <c r="N4" s="1"/>
      <c r="O4" s="2"/>
      <c r="P4" s="2"/>
      <c r="Q4" s="2"/>
      <c r="R4" s="2"/>
      <c r="S4" s="2"/>
      <c r="T4" s="2"/>
      <c r="U4" s="2"/>
      <c r="V4" s="2"/>
      <c r="W4" s="2"/>
      <c r="X4" s="2"/>
      <c r="Y4" s="2"/>
      <c r="Z4" s="2"/>
      <c r="AA4" s="2"/>
      <c r="AB4" s="2"/>
      <c r="AC4" s="2"/>
      <c r="AD4" s="2"/>
      <c r="AE4" s="2"/>
      <c r="AF4" s="2"/>
      <c r="AG4" s="2"/>
      <c r="AH4" s="2"/>
      <c r="AI4" s="2"/>
      <c r="AJ4" s="2"/>
    </row>
    <row r="5" spans="1:37" ht="13.8" x14ac:dyDescent="0.3">
      <c r="A5" s="37" t="s">
        <v>7</v>
      </c>
      <c r="B5" s="94">
        <v>0.15</v>
      </c>
      <c r="C5" s="17"/>
      <c r="D5" s="15"/>
      <c r="E5" s="2"/>
      <c r="F5" s="2"/>
      <c r="G5" s="2"/>
      <c r="H5" s="1"/>
      <c r="I5" s="2"/>
      <c r="J5" s="1"/>
      <c r="K5" s="99">
        <v>4</v>
      </c>
      <c r="L5" s="100">
        <v>0.66009521942266203</v>
      </c>
      <c r="M5" s="2"/>
      <c r="N5" s="2"/>
      <c r="O5" s="2"/>
      <c r="P5" s="2"/>
      <c r="Q5" s="2"/>
      <c r="R5" s="2"/>
      <c r="S5" s="2"/>
      <c r="T5" s="2"/>
      <c r="U5" s="2"/>
      <c r="V5" s="2"/>
      <c r="W5" s="2"/>
      <c r="X5" s="2"/>
      <c r="Y5" s="2"/>
      <c r="Z5" s="2"/>
      <c r="AA5" s="2"/>
      <c r="AB5" s="2"/>
      <c r="AC5" s="2"/>
      <c r="AD5" s="2"/>
      <c r="AE5" s="2"/>
      <c r="AF5" s="2"/>
      <c r="AG5" s="2"/>
      <c r="AH5" s="2"/>
      <c r="AI5" s="2"/>
      <c r="AJ5" s="2"/>
    </row>
    <row r="6" spans="1:37" ht="13.8" x14ac:dyDescent="0.3">
      <c r="A6" s="29" t="s">
        <v>62</v>
      </c>
      <c r="B6" s="85">
        <v>0.99990000000000001</v>
      </c>
      <c r="C6" s="2"/>
      <c r="D6" s="2"/>
      <c r="E6" s="2"/>
      <c r="F6" s="2"/>
      <c r="G6" s="2"/>
      <c r="H6" s="1"/>
      <c r="I6" s="82" t="s">
        <v>69</v>
      </c>
      <c r="J6" s="90">
        <f>SQRT(J7)</f>
        <v>0.49983964712177104</v>
      </c>
      <c r="K6" s="99">
        <v>5</v>
      </c>
      <c r="L6" s="100">
        <v>0.66018647824650878</v>
      </c>
      <c r="M6" s="2"/>
      <c r="N6" s="2"/>
      <c r="O6" s="2"/>
      <c r="P6" s="2"/>
      <c r="Q6" s="2"/>
      <c r="R6" s="2"/>
      <c r="S6" s="2"/>
      <c r="T6" s="2"/>
      <c r="U6" s="2"/>
      <c r="V6" s="2"/>
      <c r="W6" s="2"/>
      <c r="X6" s="2"/>
      <c r="Y6" s="2"/>
      <c r="Z6" s="2"/>
      <c r="AA6" s="2"/>
      <c r="AB6" s="2"/>
      <c r="AC6" s="2"/>
      <c r="AD6" s="2"/>
      <c r="AE6" s="2"/>
      <c r="AF6" s="2"/>
      <c r="AG6" s="2"/>
      <c r="AH6" s="2"/>
      <c r="AI6" s="2"/>
      <c r="AJ6" s="2"/>
      <c r="AK6" s="2"/>
    </row>
    <row r="7" spans="1:37" ht="13.8" x14ac:dyDescent="0.3">
      <c r="A7" s="29" t="s">
        <v>63</v>
      </c>
      <c r="B7" s="85">
        <v>0.99990000000000001</v>
      </c>
      <c r="C7" s="78" t="s">
        <v>15</v>
      </c>
      <c r="D7" s="2"/>
      <c r="E7" s="2"/>
      <c r="F7" s="78" t="s">
        <v>8</v>
      </c>
      <c r="G7" s="2"/>
      <c r="H7" s="2"/>
      <c r="I7" s="73" t="s">
        <v>65</v>
      </c>
      <c r="J7" s="71">
        <v>0.24983967283481662</v>
      </c>
      <c r="K7" s="99">
        <v>6</v>
      </c>
      <c r="L7" s="100">
        <v>0.66019106327479948</v>
      </c>
      <c r="M7" s="2"/>
      <c r="N7" s="2"/>
      <c r="O7" s="2"/>
      <c r="P7" s="2"/>
      <c r="Q7" s="2"/>
      <c r="R7" s="2"/>
      <c r="S7" s="2"/>
      <c r="T7" s="2"/>
      <c r="U7" s="2"/>
      <c r="V7" s="2"/>
      <c r="W7" s="2"/>
      <c r="X7" s="2"/>
      <c r="Y7" s="2"/>
      <c r="Z7" s="2"/>
      <c r="AA7" s="2"/>
      <c r="AB7" s="2"/>
      <c r="AC7" s="2"/>
      <c r="AD7" s="2"/>
      <c r="AE7" s="2"/>
      <c r="AF7" s="2"/>
      <c r="AG7" s="2"/>
      <c r="AH7" s="2"/>
      <c r="AI7" s="2"/>
      <c r="AJ7" s="2"/>
      <c r="AK7" s="2"/>
    </row>
    <row r="8" spans="1:37" ht="13.8" x14ac:dyDescent="0.3">
      <c r="A8" s="27" t="s">
        <v>11</v>
      </c>
      <c r="B8" s="35" t="s">
        <v>12</v>
      </c>
      <c r="C8" s="74" t="s">
        <v>16</v>
      </c>
      <c r="D8" s="2"/>
      <c r="E8" s="2"/>
      <c r="F8" s="74" t="s">
        <v>17</v>
      </c>
      <c r="G8" s="2"/>
      <c r="H8" s="2"/>
      <c r="I8" s="73" t="s">
        <v>64</v>
      </c>
      <c r="J8" s="72">
        <v>0.24987973534442115</v>
      </c>
      <c r="K8" s="99">
        <v>7</v>
      </c>
      <c r="L8" s="100">
        <v>0.66018574270578301</v>
      </c>
      <c r="M8" s="2"/>
      <c r="N8" s="2"/>
      <c r="O8" s="2"/>
      <c r="P8" s="2"/>
      <c r="Q8" s="2"/>
      <c r="R8" s="2"/>
      <c r="S8" s="2"/>
      <c r="T8" s="2"/>
      <c r="U8" s="2"/>
      <c r="V8" s="2"/>
      <c r="W8" s="2"/>
      <c r="X8" s="2"/>
      <c r="Y8" s="2"/>
      <c r="Z8" s="2"/>
      <c r="AA8" s="2"/>
      <c r="AB8" s="2"/>
      <c r="AC8" s="2"/>
      <c r="AD8" s="2"/>
      <c r="AE8" s="2"/>
      <c r="AF8" s="2"/>
      <c r="AG8" s="2"/>
      <c r="AH8" s="2"/>
      <c r="AI8" s="2"/>
      <c r="AJ8" s="2"/>
      <c r="AK8" s="2"/>
    </row>
    <row r="9" spans="1:37" ht="15" customHeight="1" x14ac:dyDescent="0.3">
      <c r="A9" s="29" t="s">
        <v>1</v>
      </c>
      <c r="B9" s="36">
        <v>1</v>
      </c>
      <c r="C9" s="75">
        <v>0.18350025548503668</v>
      </c>
      <c r="D9" s="2">
        <v>1</v>
      </c>
      <c r="E9" s="83" t="s">
        <v>19</v>
      </c>
      <c r="F9" s="91">
        <v>0.14204882053020607</v>
      </c>
      <c r="G9" s="2"/>
      <c r="H9" s="2"/>
      <c r="I9" s="47" t="s">
        <v>67</v>
      </c>
      <c r="J9" s="90">
        <v>0.32998265164898954</v>
      </c>
      <c r="K9" s="99">
        <v>8</v>
      </c>
      <c r="L9" s="100">
        <v>0.66018167581111342</v>
      </c>
      <c r="M9" s="2"/>
      <c r="N9" s="2"/>
      <c r="O9" s="2"/>
      <c r="P9" s="2"/>
      <c r="Q9" s="2"/>
      <c r="R9" s="2"/>
      <c r="S9" s="2"/>
      <c r="T9" s="2"/>
      <c r="U9" s="2"/>
      <c r="V9" s="2"/>
      <c r="W9" s="2"/>
      <c r="X9" s="2"/>
      <c r="Y9" s="2"/>
      <c r="Z9" s="2"/>
      <c r="AA9" s="2"/>
      <c r="AB9" s="2"/>
      <c r="AC9" s="2"/>
      <c r="AD9" s="2"/>
      <c r="AE9" s="2"/>
      <c r="AF9" s="2"/>
      <c r="AG9" s="2"/>
      <c r="AH9" s="2"/>
      <c r="AI9" s="2"/>
      <c r="AJ9" s="2"/>
      <c r="AK9" s="2"/>
    </row>
    <row r="10" spans="1:37" ht="15.6" x14ac:dyDescent="0.3">
      <c r="A10" s="29" t="s">
        <v>55</v>
      </c>
      <c r="B10" s="36">
        <v>20</v>
      </c>
      <c r="C10" s="75">
        <v>0.39716340987589327</v>
      </c>
      <c r="D10" s="2">
        <v>1</v>
      </c>
      <c r="E10" s="83" t="s">
        <v>20</v>
      </c>
      <c r="F10" s="91">
        <v>7.715362325947217E-2</v>
      </c>
      <c r="G10" s="2"/>
      <c r="H10" s="2"/>
      <c r="I10" s="77" t="s">
        <v>52</v>
      </c>
      <c r="J10" s="96">
        <v>0.66017702587045701</v>
      </c>
      <c r="K10" s="99">
        <v>9</v>
      </c>
      <c r="L10" s="100">
        <v>0.66017938533428566</v>
      </c>
      <c r="M10" s="2"/>
      <c r="N10" s="2"/>
      <c r="O10" s="2"/>
      <c r="P10" s="2"/>
      <c r="Q10" s="2"/>
      <c r="R10" s="2"/>
      <c r="S10" s="2"/>
      <c r="T10" s="2"/>
      <c r="U10" s="2"/>
      <c r="V10" s="2"/>
      <c r="W10" s="2"/>
      <c r="X10" s="2"/>
      <c r="Y10" s="2"/>
      <c r="Z10" s="2"/>
      <c r="AA10" s="2"/>
      <c r="AB10" s="2"/>
      <c r="AC10" s="2"/>
      <c r="AD10" s="2"/>
      <c r="AE10" s="2"/>
      <c r="AF10" s="2"/>
      <c r="AG10" s="2"/>
      <c r="AH10" s="2"/>
      <c r="AI10" s="2"/>
      <c r="AJ10" s="2"/>
      <c r="AK10" s="2"/>
    </row>
    <row r="11" spans="1:37" ht="13.8" x14ac:dyDescent="0.3">
      <c r="A11" s="29" t="s">
        <v>56</v>
      </c>
      <c r="B11" s="36">
        <v>3</v>
      </c>
      <c r="C11" s="75">
        <v>0.15464007250039091</v>
      </c>
      <c r="D11" s="2">
        <v>1</v>
      </c>
      <c r="E11" s="83" t="s">
        <v>18</v>
      </c>
      <c r="F11" s="91">
        <v>8.0976544969080244E-3</v>
      </c>
      <c r="G11" s="2"/>
      <c r="H11" s="7"/>
      <c r="I11" s="70"/>
      <c r="J11" s="70"/>
      <c r="K11" s="99">
        <v>10</v>
      </c>
      <c r="L11" s="100">
        <v>0.66017819456542748</v>
      </c>
      <c r="M11" s="2"/>
      <c r="N11" s="2"/>
      <c r="O11" s="2"/>
      <c r="P11" s="2"/>
      <c r="Q11" s="2"/>
      <c r="R11" s="2"/>
      <c r="S11" s="2"/>
      <c r="T11" s="2"/>
      <c r="U11" s="2"/>
      <c r="V11" s="2"/>
      <c r="W11" s="2"/>
      <c r="X11" s="2"/>
      <c r="Y11" s="2"/>
      <c r="Z11" s="2"/>
      <c r="AA11" s="2"/>
      <c r="AB11" s="2"/>
      <c r="AC11" s="2"/>
      <c r="AD11" s="2"/>
      <c r="AE11" s="2"/>
      <c r="AF11" s="2"/>
      <c r="AG11" s="2"/>
      <c r="AH11" s="2"/>
      <c r="AI11" s="2"/>
      <c r="AJ11" s="2"/>
      <c r="AK11" s="2"/>
    </row>
    <row r="12" spans="1:37" ht="13.8" x14ac:dyDescent="0.3">
      <c r="A12" s="29" t="s">
        <v>5</v>
      </c>
      <c r="B12" s="36">
        <v>0</v>
      </c>
      <c r="C12" s="75">
        <v>2.21729247631769E-2</v>
      </c>
      <c r="D12" s="2">
        <v>2</v>
      </c>
      <c r="E12" s="83" t="s">
        <v>21</v>
      </c>
      <c r="F12" s="91">
        <v>1.1714777927605002E-3</v>
      </c>
      <c r="G12" s="2"/>
      <c r="H12" s="2"/>
      <c r="I12" s="73" t="s">
        <v>45</v>
      </c>
      <c r="J12" s="71">
        <v>0.62948799287350721</v>
      </c>
      <c r="K12" s="99">
        <v>11</v>
      </c>
      <c r="L12" s="100">
        <v>0.66017759184444302</v>
      </c>
      <c r="M12" s="2"/>
      <c r="N12" s="2"/>
      <c r="O12" s="2"/>
      <c r="P12" s="2"/>
      <c r="Q12" s="2"/>
      <c r="R12" s="2"/>
      <c r="S12" s="2"/>
      <c r="T12" s="2"/>
      <c r="U12" s="2"/>
      <c r="V12" s="2"/>
      <c r="W12" s="2"/>
      <c r="X12" s="2"/>
      <c r="Y12" s="2"/>
      <c r="Z12" s="2"/>
      <c r="AA12" s="2"/>
      <c r="AB12" s="2"/>
      <c r="AC12" s="2"/>
      <c r="AD12" s="2"/>
      <c r="AE12" s="2"/>
      <c r="AF12" s="2"/>
      <c r="AG12" s="2"/>
      <c r="AH12" s="2"/>
      <c r="AI12" s="2"/>
      <c r="AJ12" s="2"/>
      <c r="AK12" s="2"/>
    </row>
    <row r="13" spans="1:37" ht="13.8" x14ac:dyDescent="0.3">
      <c r="A13" s="29" t="s">
        <v>57</v>
      </c>
      <c r="B13" s="84" t="s">
        <v>58</v>
      </c>
      <c r="C13" s="75">
        <v>0.48504667475100438</v>
      </c>
      <c r="D13" s="2">
        <v>57</v>
      </c>
      <c r="E13" s="83" t="s">
        <v>22</v>
      </c>
      <c r="F13" s="91">
        <v>6.1319124834724015E-2</v>
      </c>
      <c r="G13" s="2"/>
      <c r="H13" s="2"/>
      <c r="I13" s="73" t="s">
        <v>46</v>
      </c>
      <c r="J13" s="72">
        <v>0.44144019649261179</v>
      </c>
      <c r="K13" s="99">
        <v>12</v>
      </c>
      <c r="L13" s="100">
        <v>0.66017728968316824</v>
      </c>
      <c r="M13" s="2" t="s">
        <v>0</v>
      </c>
      <c r="N13" s="2" t="s">
        <v>0</v>
      </c>
      <c r="O13" s="2" t="s">
        <v>0</v>
      </c>
      <c r="P13" s="2"/>
      <c r="Q13" s="2"/>
      <c r="R13" s="2"/>
      <c r="S13" s="2"/>
      <c r="T13" s="2"/>
      <c r="U13" s="2"/>
      <c r="V13" s="2"/>
      <c r="W13" s="2"/>
      <c r="X13" s="2"/>
      <c r="Y13" s="2"/>
      <c r="Z13" s="2"/>
      <c r="AA13" s="2"/>
      <c r="AB13" s="2"/>
      <c r="AC13" s="2"/>
      <c r="AD13" s="2"/>
      <c r="AE13" s="2"/>
      <c r="AF13" s="2"/>
      <c r="AG13" s="2"/>
      <c r="AH13" s="2"/>
      <c r="AI13" s="2"/>
      <c r="AJ13" s="2"/>
      <c r="AK13" s="2"/>
    </row>
    <row r="14" spans="1:37" ht="13.8" x14ac:dyDescent="0.3">
      <c r="A14" s="2"/>
      <c r="B14" s="2"/>
      <c r="C14" s="75">
        <v>-0.24252333737550225</v>
      </c>
      <c r="D14" s="2">
        <v>20</v>
      </c>
      <c r="E14" s="83" t="s">
        <v>80</v>
      </c>
      <c r="F14" s="91">
        <v>1.5075187978988991E-3</v>
      </c>
      <c r="G14" s="2"/>
      <c r="H14" s="2"/>
      <c r="I14" s="2"/>
      <c r="J14" s="2"/>
      <c r="K14" s="99">
        <v>13</v>
      </c>
      <c r="L14" s="100">
        <v>0.66017713873455963</v>
      </c>
      <c r="M14" s="2"/>
      <c r="N14" s="2"/>
      <c r="O14" s="2"/>
      <c r="P14" s="2"/>
      <c r="Q14" s="2"/>
      <c r="R14" s="2"/>
      <c r="S14" s="2"/>
      <c r="T14" s="2"/>
      <c r="U14" s="2"/>
      <c r="V14" s="2"/>
      <c r="W14" s="2"/>
      <c r="X14" s="2"/>
      <c r="Y14" s="2"/>
      <c r="Z14" s="2"/>
      <c r="AA14" s="2"/>
      <c r="AB14" s="2"/>
      <c r="AC14" s="2"/>
      <c r="AD14" s="2"/>
      <c r="AE14" s="2"/>
      <c r="AF14" s="2"/>
      <c r="AG14" s="2"/>
      <c r="AH14" s="2"/>
      <c r="AI14" s="2"/>
      <c r="AJ14" s="2"/>
    </row>
    <row r="15" spans="1:37" ht="13.8" x14ac:dyDescent="0.3">
      <c r="A15" s="2"/>
      <c r="B15" s="2"/>
      <c r="C15" s="76">
        <v>0.43693547139297101</v>
      </c>
      <c r="D15" s="2" t="s">
        <v>43</v>
      </c>
      <c r="E15" s="83" t="s">
        <v>43</v>
      </c>
      <c r="F15" s="92" t="s">
        <v>43</v>
      </c>
      <c r="G15" s="2"/>
      <c r="H15" s="150" t="s">
        <v>108</v>
      </c>
      <c r="I15" s="150"/>
      <c r="J15" s="2"/>
      <c r="K15" s="99">
        <v>14</v>
      </c>
      <c r="L15" s="100">
        <v>0.6601770634248677</v>
      </c>
      <c r="M15" s="2"/>
      <c r="N15" s="2"/>
      <c r="O15" s="2"/>
      <c r="P15" s="2"/>
      <c r="Q15" s="2"/>
      <c r="R15" s="2"/>
      <c r="S15" s="2"/>
      <c r="T15" s="2"/>
      <c r="U15" s="2"/>
      <c r="V15" s="2"/>
      <c r="W15" s="2"/>
      <c r="X15" s="2"/>
      <c r="Y15" s="2"/>
      <c r="Z15" s="2"/>
      <c r="AA15" s="2"/>
      <c r="AB15" s="2"/>
      <c r="AC15" s="2"/>
      <c r="AD15" s="2"/>
      <c r="AE15" s="2"/>
      <c r="AF15" s="2"/>
      <c r="AG15" s="2"/>
      <c r="AH15" s="2"/>
      <c r="AI15" s="2"/>
      <c r="AJ15" s="2"/>
    </row>
    <row r="16" spans="1:37" ht="13.8" x14ac:dyDescent="0.3">
      <c r="A16" s="2"/>
      <c r="B16" s="2"/>
      <c r="C16" s="17"/>
      <c r="D16" s="17"/>
      <c r="E16" s="2" t="s">
        <v>0</v>
      </c>
      <c r="F16" s="2" t="s">
        <v>0</v>
      </c>
      <c r="G16" s="2" t="s">
        <v>0</v>
      </c>
      <c r="H16" s="2"/>
      <c r="I16" s="2" t="s">
        <v>0</v>
      </c>
      <c r="J16" s="2" t="s">
        <v>0</v>
      </c>
      <c r="K16" s="99">
        <v>15</v>
      </c>
      <c r="L16" s="100">
        <v>0.66017702587045701</v>
      </c>
      <c r="M16" s="7"/>
      <c r="N16" s="2"/>
      <c r="O16" s="2"/>
      <c r="P16" s="2"/>
      <c r="Q16" s="2"/>
      <c r="R16" s="2"/>
      <c r="S16" s="2"/>
      <c r="T16" s="2"/>
      <c r="U16" s="2"/>
      <c r="V16" s="2"/>
      <c r="W16" s="2"/>
      <c r="X16" s="2"/>
      <c r="Y16" s="2"/>
      <c r="Z16" s="2"/>
      <c r="AA16" s="2"/>
      <c r="AB16" s="2"/>
      <c r="AC16" s="2"/>
      <c r="AD16" s="2"/>
      <c r="AE16" s="2"/>
      <c r="AF16" s="2"/>
      <c r="AG16" s="2"/>
      <c r="AH16" s="2"/>
      <c r="AI16" s="2"/>
      <c r="AJ16" s="2"/>
    </row>
    <row r="17" spans="1:36" ht="17.399999999999999" x14ac:dyDescent="0.3">
      <c r="A17" s="2"/>
      <c r="B17" s="2"/>
      <c r="C17" s="44" t="s">
        <v>26</v>
      </c>
      <c r="D17" s="2"/>
      <c r="E17" s="2"/>
      <c r="F17" s="2"/>
      <c r="G17" s="2"/>
      <c r="H17" s="2"/>
      <c r="I17" s="2"/>
      <c r="J17" s="45" t="s">
        <v>32</v>
      </c>
      <c r="K17" s="2"/>
      <c r="L17" s="45" t="s">
        <v>33</v>
      </c>
      <c r="M17" s="2"/>
      <c r="N17" s="43" t="s">
        <v>34</v>
      </c>
      <c r="O17" s="2"/>
      <c r="P17" s="2"/>
      <c r="Q17" s="2"/>
      <c r="R17" s="2"/>
      <c r="S17" s="2"/>
      <c r="T17" s="2"/>
      <c r="U17" s="2"/>
      <c r="V17" s="2"/>
      <c r="W17" s="2"/>
      <c r="X17" s="2"/>
      <c r="Y17" s="2"/>
      <c r="Z17" s="2"/>
      <c r="AA17" s="2"/>
      <c r="AB17" s="2"/>
      <c r="AC17" s="2"/>
      <c r="AD17" s="2"/>
      <c r="AE17" s="2"/>
      <c r="AF17" s="2"/>
      <c r="AG17" s="2"/>
      <c r="AH17" s="2"/>
      <c r="AI17" s="2"/>
      <c r="AJ17" s="2"/>
    </row>
    <row r="18" spans="1:36" ht="13.8" x14ac:dyDescent="0.3">
      <c r="A18" s="2"/>
      <c r="B18" s="46" t="s">
        <v>19</v>
      </c>
      <c r="C18" s="63">
        <v>0.99983968071755247</v>
      </c>
      <c r="D18" s="64">
        <v>5.4364115582635812E-2</v>
      </c>
      <c r="E18" s="64">
        <v>5.4364115582635812E-2</v>
      </c>
      <c r="F18" s="64">
        <v>0.27483968071755249</v>
      </c>
      <c r="G18" s="64">
        <v>6.2419840358776249E-2</v>
      </c>
      <c r="H18" s="64">
        <v>0</v>
      </c>
      <c r="I18" s="79"/>
      <c r="J18" s="95">
        <v>0.2498396807175525</v>
      </c>
      <c r="K18" s="14" t="s">
        <v>19</v>
      </c>
      <c r="L18" s="65">
        <v>0.18350025548503668</v>
      </c>
      <c r="M18" s="2"/>
      <c r="N18" s="66">
        <v>0.66017702587045701</v>
      </c>
      <c r="O18" s="2"/>
      <c r="P18" s="2"/>
      <c r="Q18" s="2"/>
      <c r="R18" s="2"/>
      <c r="S18" s="2"/>
      <c r="T18" s="2"/>
      <c r="U18" s="2"/>
      <c r="V18" s="2"/>
      <c r="W18" s="2"/>
      <c r="X18" s="2"/>
      <c r="Y18" s="2"/>
      <c r="Z18" s="2"/>
      <c r="AA18" s="2"/>
      <c r="AB18" s="2"/>
      <c r="AC18" s="2"/>
      <c r="AD18" s="2"/>
      <c r="AE18" s="2"/>
      <c r="AF18" s="2"/>
      <c r="AG18" s="2"/>
      <c r="AH18" s="2"/>
      <c r="AI18" s="2"/>
      <c r="AJ18" s="2"/>
    </row>
    <row r="19" spans="1:36" ht="13.8" x14ac:dyDescent="0.3">
      <c r="A19" s="2"/>
      <c r="B19" s="47" t="s">
        <v>20</v>
      </c>
      <c r="C19" s="21">
        <v>5.4364115582635812E-2</v>
      </c>
      <c r="D19" s="22">
        <v>0.10872823116527162</v>
      </c>
      <c r="E19" s="22">
        <v>0</v>
      </c>
      <c r="F19" s="22">
        <v>5.4364115582635812E-2</v>
      </c>
      <c r="G19" s="22">
        <v>0</v>
      </c>
      <c r="H19" s="22">
        <v>0</v>
      </c>
      <c r="I19" s="23"/>
      <c r="J19" s="18">
        <v>5.4364115582635812E-2</v>
      </c>
      <c r="K19" s="17" t="s">
        <v>20</v>
      </c>
      <c r="L19" s="13">
        <v>0.39716340987589327</v>
      </c>
      <c r="M19" s="2"/>
      <c r="N19" s="2"/>
      <c r="O19" s="2"/>
      <c r="P19" s="2"/>
      <c r="Q19" s="2"/>
      <c r="R19" s="2"/>
      <c r="S19" s="2"/>
      <c r="T19" s="2"/>
      <c r="U19" s="2"/>
      <c r="V19" s="2"/>
      <c r="W19" s="2"/>
      <c r="X19" s="2"/>
      <c r="Y19" s="2"/>
      <c r="Z19" s="2"/>
      <c r="AA19" s="2"/>
      <c r="AB19" s="2"/>
      <c r="AC19" s="2"/>
      <c r="AD19" s="2"/>
      <c r="AE19" s="2"/>
      <c r="AF19" s="2"/>
      <c r="AG19" s="2"/>
      <c r="AH19" s="2"/>
      <c r="AI19" s="2"/>
      <c r="AJ19" s="2"/>
    </row>
    <row r="20" spans="1:36" ht="13.8" x14ac:dyDescent="0.3">
      <c r="A20" s="2"/>
      <c r="B20" s="47" t="s">
        <v>18</v>
      </c>
      <c r="C20" s="21">
        <v>5.4364115582635812E-2</v>
      </c>
      <c r="D20" s="22">
        <v>0</v>
      </c>
      <c r="E20" s="22">
        <v>0.10872823116527162</v>
      </c>
      <c r="F20" s="22">
        <v>5.4364115582635812E-2</v>
      </c>
      <c r="G20" s="22">
        <v>5.4364115582635812E-2</v>
      </c>
      <c r="H20" s="22">
        <v>0</v>
      </c>
      <c r="I20" s="23"/>
      <c r="J20" s="18">
        <v>5.4364115582635812E-2</v>
      </c>
      <c r="K20" s="17" t="s">
        <v>18</v>
      </c>
      <c r="L20" s="13">
        <v>0.15464007250039091</v>
      </c>
      <c r="M20" s="2"/>
      <c r="N20" s="2"/>
      <c r="O20" s="2"/>
      <c r="P20" s="2"/>
      <c r="Q20" s="2"/>
      <c r="R20" s="2"/>
      <c r="S20" s="2"/>
      <c r="T20" s="2"/>
      <c r="U20" s="2"/>
      <c r="V20" s="2"/>
      <c r="W20" s="2"/>
      <c r="X20" s="2"/>
      <c r="Y20" s="2"/>
      <c r="Z20" s="2"/>
      <c r="AA20" s="2"/>
      <c r="AB20" s="2"/>
      <c r="AC20" s="2"/>
      <c r="AD20" s="2"/>
      <c r="AE20" s="2"/>
      <c r="AF20" s="2"/>
      <c r="AG20" s="2"/>
      <c r="AH20" s="2"/>
      <c r="AI20" s="2"/>
      <c r="AJ20" s="2"/>
    </row>
    <row r="21" spans="1:36" ht="13.8" x14ac:dyDescent="0.3">
      <c r="A21" s="2"/>
      <c r="B21" s="47" t="s">
        <v>21</v>
      </c>
      <c r="C21" s="21">
        <v>0.27483968071755249</v>
      </c>
      <c r="D21" s="22">
        <v>5.4364115582635812E-2</v>
      </c>
      <c r="E21" s="22">
        <v>5.4364115582635812E-2</v>
      </c>
      <c r="F21" s="22">
        <v>0.63733968071755243</v>
      </c>
      <c r="G21" s="22">
        <v>6.2419840358776249E-2</v>
      </c>
      <c r="H21" s="22">
        <v>0</v>
      </c>
      <c r="I21" s="23"/>
      <c r="J21" s="18">
        <v>0.1248396807175525</v>
      </c>
      <c r="K21" s="17" t="s">
        <v>21</v>
      </c>
      <c r="L21" s="13">
        <v>2.21729247631769E-2</v>
      </c>
      <c r="M21" s="2"/>
      <c r="N21" s="2"/>
      <c r="O21" s="2"/>
      <c r="P21" s="2"/>
      <c r="Q21" s="2"/>
      <c r="R21" s="2"/>
      <c r="S21" s="2"/>
      <c r="T21" s="2"/>
      <c r="U21" s="2"/>
      <c r="V21" s="2"/>
      <c r="W21" s="2"/>
      <c r="X21" s="2"/>
      <c r="Y21" s="2"/>
      <c r="Z21" s="2"/>
      <c r="AA21" s="2"/>
      <c r="AB21" s="2"/>
      <c r="AC21" s="2"/>
      <c r="AD21" s="2"/>
      <c r="AE21" s="2"/>
      <c r="AF21" s="2"/>
      <c r="AG21" s="2"/>
      <c r="AH21" s="2"/>
      <c r="AI21" s="2"/>
      <c r="AJ21" s="2"/>
    </row>
    <row r="22" spans="1:36" ht="13.8" x14ac:dyDescent="0.3">
      <c r="A22" s="2"/>
      <c r="B22" s="48" t="s">
        <v>22</v>
      </c>
      <c r="C22" s="21">
        <v>6.2419840358776249E-2</v>
      </c>
      <c r="D22" s="22">
        <v>0</v>
      </c>
      <c r="E22" s="22">
        <v>5.4364115582635812E-2</v>
      </c>
      <c r="F22" s="22">
        <v>6.2419840358776249E-2</v>
      </c>
      <c r="G22" s="22">
        <v>8.6319130202220609E-2</v>
      </c>
      <c r="H22" s="22">
        <v>2.8612692411913586E-3</v>
      </c>
      <c r="I22" s="23"/>
      <c r="J22" s="18">
        <v>6.2419840358776249E-2</v>
      </c>
      <c r="K22" s="17" t="s">
        <v>22</v>
      </c>
      <c r="L22" s="13">
        <v>0.48504667475100438</v>
      </c>
      <c r="M22" s="2"/>
      <c r="N22" s="2"/>
      <c r="O22" s="2"/>
      <c r="P22" s="2"/>
      <c r="Q22" s="2"/>
      <c r="R22" s="2"/>
      <c r="S22" s="2"/>
      <c r="T22" s="2"/>
      <c r="U22" s="2"/>
      <c r="V22" s="2"/>
      <c r="W22" s="2"/>
      <c r="X22" s="2"/>
      <c r="Y22" s="2"/>
      <c r="Z22" s="2"/>
      <c r="AA22" s="2"/>
      <c r="AB22" s="2"/>
      <c r="AC22" s="2"/>
      <c r="AD22" s="2"/>
      <c r="AE22" s="2"/>
      <c r="AF22" s="2"/>
    </row>
    <row r="23" spans="1:36" ht="13.8" x14ac:dyDescent="0.3">
      <c r="A23" s="2"/>
      <c r="B23" s="48" t="s">
        <v>80</v>
      </c>
      <c r="C23" s="21">
        <v>0</v>
      </c>
      <c r="D23" s="22">
        <v>0</v>
      </c>
      <c r="E23" s="22">
        <v>0</v>
      </c>
      <c r="F23" s="22">
        <v>0</v>
      </c>
      <c r="G23" s="22">
        <v>2.8612692411913586E-3</v>
      </c>
      <c r="H23" s="22">
        <v>5.7225384823827172E-3</v>
      </c>
      <c r="I23" s="23"/>
      <c r="J23" s="18">
        <v>0</v>
      </c>
      <c r="K23" s="17" t="s">
        <v>80</v>
      </c>
      <c r="L23" s="18">
        <v>-0.24252333737550225</v>
      </c>
      <c r="M23" s="2"/>
      <c r="N23" s="2"/>
      <c r="O23" s="2"/>
      <c r="P23" s="2"/>
      <c r="Q23" s="2"/>
      <c r="R23" s="2"/>
      <c r="S23" s="2"/>
      <c r="T23" s="2"/>
      <c r="U23" s="2"/>
      <c r="V23" s="2"/>
      <c r="W23" s="2"/>
      <c r="X23" s="2"/>
      <c r="Y23" s="2"/>
      <c r="Z23" s="2"/>
      <c r="AA23" s="2"/>
      <c r="AB23" s="2"/>
      <c r="AC23" s="2"/>
      <c r="AD23" s="2"/>
      <c r="AE23" s="2"/>
      <c r="AF23" s="2"/>
    </row>
    <row r="24" spans="1:36" ht="13.8" x14ac:dyDescent="0.3">
      <c r="A24" s="2"/>
      <c r="B24" s="48"/>
      <c r="C24" s="24"/>
      <c r="D24" s="12"/>
      <c r="E24" s="12"/>
      <c r="F24" s="12"/>
      <c r="G24" s="12"/>
      <c r="H24" s="12"/>
      <c r="I24" s="25"/>
      <c r="J24" s="20"/>
      <c r="K24" s="17"/>
      <c r="L24" s="20"/>
      <c r="M24" s="2"/>
      <c r="N24" s="2"/>
      <c r="O24" s="2"/>
      <c r="P24" s="2"/>
      <c r="Q24" s="2"/>
      <c r="R24" s="2"/>
      <c r="S24" s="2"/>
      <c r="T24" s="2"/>
      <c r="U24" s="2"/>
      <c r="V24" s="2"/>
      <c r="W24" s="2"/>
      <c r="X24" s="2"/>
      <c r="Y24" s="2"/>
      <c r="Z24" s="2"/>
      <c r="AA24" s="2"/>
      <c r="AB24" s="2"/>
      <c r="AC24" s="2"/>
      <c r="AD24" s="2"/>
      <c r="AE24" s="2"/>
      <c r="AF24" s="2"/>
    </row>
    <row r="25" spans="1:36" x14ac:dyDescent="0.25">
      <c r="A25" s="2"/>
      <c r="B25" s="48"/>
      <c r="C25" s="6"/>
      <c r="D25" s="6"/>
      <c r="E25" s="6"/>
      <c r="F25" s="6"/>
      <c r="G25" s="6"/>
      <c r="H25" s="2"/>
      <c r="I25" s="2"/>
      <c r="J25" s="2"/>
      <c r="K25" s="2"/>
      <c r="L25" s="2"/>
      <c r="M25" s="2"/>
      <c r="N25" s="2"/>
      <c r="O25" s="2"/>
      <c r="P25" s="2"/>
      <c r="Q25" s="2"/>
      <c r="R25" s="2"/>
      <c r="S25" s="2"/>
      <c r="T25" s="2"/>
      <c r="U25" s="2"/>
      <c r="V25" s="2"/>
      <c r="W25" s="2"/>
      <c r="X25" s="2"/>
      <c r="Y25" s="2"/>
      <c r="Z25" s="2"/>
      <c r="AA25" s="2"/>
      <c r="AB25" s="2"/>
      <c r="AC25" s="2"/>
      <c r="AD25" s="2"/>
      <c r="AE25" s="2"/>
      <c r="AF25" s="2"/>
    </row>
    <row r="26" spans="1:36" x14ac:dyDescent="0.25">
      <c r="A26" s="2"/>
      <c r="B26" s="48"/>
      <c r="C26" s="54" t="s">
        <v>38</v>
      </c>
      <c r="D26" s="6"/>
      <c r="E26" s="6"/>
      <c r="F26" s="6"/>
      <c r="G26" s="6"/>
      <c r="H26" s="2"/>
      <c r="I26" s="2"/>
      <c r="J26" s="2"/>
      <c r="K26" s="2"/>
      <c r="L26" s="2"/>
      <c r="M26" s="2"/>
      <c r="N26" s="2"/>
      <c r="O26" s="2"/>
      <c r="P26" s="2"/>
      <c r="Q26" s="2"/>
      <c r="R26" s="2"/>
      <c r="S26" s="2"/>
      <c r="T26" s="2"/>
      <c r="U26" s="2"/>
      <c r="V26" s="2"/>
      <c r="W26" s="2"/>
      <c r="X26" s="2"/>
      <c r="Y26" s="2"/>
      <c r="Z26" s="2"/>
      <c r="AA26" s="2"/>
      <c r="AB26" s="2"/>
      <c r="AC26" s="2"/>
      <c r="AD26" s="2"/>
      <c r="AE26" s="2"/>
      <c r="AF26" s="2"/>
    </row>
    <row r="27" spans="1:36" ht="13.8" x14ac:dyDescent="0.3">
      <c r="A27" s="50" t="s">
        <v>35</v>
      </c>
      <c r="B27" s="48" t="s">
        <v>19</v>
      </c>
      <c r="C27" s="21">
        <v>0</v>
      </c>
      <c r="D27" s="22">
        <v>5.4364115582635812E-2</v>
      </c>
      <c r="E27" s="22">
        <v>5.4364115582635812E-2</v>
      </c>
      <c r="F27" s="22">
        <v>0.13741984035877625</v>
      </c>
      <c r="G27" s="22">
        <v>6.2419840358776249E-2</v>
      </c>
      <c r="H27" s="22">
        <v>6.2459920179388125E-2</v>
      </c>
      <c r="I27" s="23"/>
      <c r="J27" s="2"/>
      <c r="K27" s="2"/>
      <c r="L27" s="2"/>
      <c r="M27" s="2"/>
      <c r="N27" s="2"/>
      <c r="O27" s="2"/>
      <c r="P27" s="2"/>
      <c r="Q27" s="2"/>
      <c r="R27" s="2"/>
      <c r="S27" s="2"/>
      <c r="T27" s="2"/>
      <c r="U27" s="2"/>
      <c r="V27" s="2"/>
      <c r="W27" s="2"/>
      <c r="X27" s="2"/>
      <c r="Y27" s="2"/>
      <c r="Z27" s="2"/>
      <c r="AA27" s="2"/>
      <c r="AB27" s="2"/>
      <c r="AC27" s="2"/>
      <c r="AD27" s="2"/>
      <c r="AE27" s="2"/>
      <c r="AF27" s="2"/>
    </row>
    <row r="28" spans="1:36" ht="13.8" x14ac:dyDescent="0.3">
      <c r="A28" s="51">
        <v>20</v>
      </c>
      <c r="B28" s="48" t="s">
        <v>20</v>
      </c>
      <c r="C28" s="21">
        <v>5.4364115582635812E-2</v>
      </c>
      <c r="D28" s="22">
        <v>0.10872823116527162</v>
      </c>
      <c r="E28" s="22">
        <v>0</v>
      </c>
      <c r="F28" s="22">
        <v>5.4364115582635812E-2</v>
      </c>
      <c r="G28" s="22">
        <v>0</v>
      </c>
      <c r="H28" s="22">
        <v>0</v>
      </c>
      <c r="I28" s="23"/>
      <c r="J28" s="2"/>
      <c r="K28" s="2"/>
      <c r="L28" s="2"/>
      <c r="M28" s="2"/>
      <c r="N28" s="2"/>
      <c r="O28" s="2"/>
      <c r="P28" s="2"/>
      <c r="Q28" s="2"/>
      <c r="R28" s="2"/>
      <c r="S28" s="2"/>
      <c r="T28" s="2"/>
      <c r="U28" s="2"/>
      <c r="V28" s="2"/>
      <c r="W28" s="2"/>
      <c r="X28" s="2"/>
      <c r="Y28" s="2"/>
      <c r="Z28" s="2"/>
      <c r="AA28" s="2"/>
      <c r="AB28" s="2"/>
      <c r="AC28" s="2"/>
      <c r="AD28" s="2"/>
      <c r="AE28" s="2"/>
      <c r="AF28" s="2"/>
    </row>
    <row r="29" spans="1:36" ht="13.8" x14ac:dyDescent="0.3">
      <c r="A29" s="51" t="s">
        <v>36</v>
      </c>
      <c r="B29" s="48" t="s">
        <v>18</v>
      </c>
      <c r="C29" s="21">
        <v>5.4364115582635812E-2</v>
      </c>
      <c r="D29" s="22">
        <v>0</v>
      </c>
      <c r="E29" s="22">
        <v>0.10872823116527162</v>
      </c>
      <c r="F29" s="22">
        <v>5.4364115582635812E-2</v>
      </c>
      <c r="G29" s="22">
        <v>5.4364115582635812E-2</v>
      </c>
      <c r="H29" s="22">
        <v>0</v>
      </c>
      <c r="I29" s="23"/>
      <c r="J29" s="2"/>
      <c r="K29" s="2"/>
      <c r="L29" s="2"/>
      <c r="M29" s="2"/>
      <c r="N29" s="2"/>
      <c r="O29" s="2"/>
      <c r="P29" s="2"/>
      <c r="Q29" s="2"/>
      <c r="R29" s="2"/>
      <c r="S29" s="2"/>
      <c r="T29" s="2"/>
      <c r="U29" s="2"/>
      <c r="V29" s="2"/>
      <c r="W29" s="2"/>
      <c r="X29" s="2"/>
      <c r="Y29" s="2"/>
      <c r="Z29" s="2"/>
      <c r="AA29" s="2"/>
      <c r="AB29" s="2"/>
      <c r="AC29" s="2"/>
      <c r="AD29" s="2"/>
      <c r="AE29" s="2"/>
      <c r="AF29" s="2"/>
    </row>
    <row r="30" spans="1:36" ht="13.8" x14ac:dyDescent="0.3">
      <c r="A30" s="51">
        <v>3</v>
      </c>
      <c r="B30" s="48" t="s">
        <v>21</v>
      </c>
      <c r="C30" s="21">
        <v>0.13741984035877625</v>
      </c>
      <c r="D30" s="22">
        <v>5.4364115582635812E-2</v>
      </c>
      <c r="E30" s="22">
        <v>5.4364115582635812E-2</v>
      </c>
      <c r="F30" s="22">
        <v>0.63733968071755243</v>
      </c>
      <c r="G30" s="22">
        <v>6.2419840358776249E-2</v>
      </c>
      <c r="H30" s="22">
        <v>0</v>
      </c>
      <c r="I30" s="23"/>
      <c r="J30" s="2"/>
      <c r="K30" s="2"/>
      <c r="L30" s="2"/>
      <c r="M30" s="2"/>
      <c r="N30" s="2"/>
      <c r="O30" s="2"/>
      <c r="P30" s="2"/>
      <c r="Q30" s="2"/>
      <c r="R30" s="2"/>
      <c r="S30" s="2"/>
      <c r="T30" s="2"/>
      <c r="U30" s="2"/>
      <c r="V30" s="2"/>
      <c r="W30" s="2"/>
      <c r="X30" s="2"/>
      <c r="Y30" s="2"/>
      <c r="Z30" s="2"/>
      <c r="AA30" s="2"/>
      <c r="AB30" s="2"/>
      <c r="AC30" s="2"/>
      <c r="AD30" s="2"/>
      <c r="AE30" s="2"/>
      <c r="AF30" s="2"/>
    </row>
    <row r="31" spans="1:36" ht="13.8" x14ac:dyDescent="0.3">
      <c r="A31" s="51"/>
      <c r="B31" s="48" t="s">
        <v>22</v>
      </c>
      <c r="C31" s="21">
        <v>6.2419840358776249E-2</v>
      </c>
      <c r="D31" s="22">
        <v>0</v>
      </c>
      <c r="E31" s="22">
        <v>5.4364115582635812E-2</v>
      </c>
      <c r="F31" s="22">
        <v>6.2419840358776249E-2</v>
      </c>
      <c r="G31" s="22">
        <v>8.6319130202220609E-2</v>
      </c>
      <c r="H31" s="22">
        <v>2.8612692411913586E-3</v>
      </c>
      <c r="I31" s="23"/>
      <c r="J31" s="2"/>
      <c r="K31" s="2"/>
      <c r="L31" s="2"/>
      <c r="M31" s="2"/>
      <c r="N31" s="2"/>
      <c r="O31" s="2"/>
      <c r="P31" s="2"/>
      <c r="Q31" s="2"/>
      <c r="R31" s="2"/>
      <c r="S31" s="2"/>
      <c r="T31" s="2"/>
      <c r="U31" s="2"/>
      <c r="V31" s="2"/>
      <c r="W31" s="2"/>
      <c r="X31" s="2"/>
      <c r="Y31" s="2"/>
      <c r="Z31" s="2"/>
      <c r="AA31" s="2"/>
      <c r="AB31" s="2"/>
      <c r="AC31" s="2"/>
      <c r="AD31" s="2"/>
      <c r="AE31" s="2"/>
      <c r="AF31" s="2"/>
    </row>
    <row r="32" spans="1:36" ht="13.8" x14ac:dyDescent="0.3">
      <c r="A32" s="52" t="s">
        <v>31</v>
      </c>
      <c r="B32" s="48" t="s">
        <v>80</v>
      </c>
      <c r="C32" s="21">
        <v>6.2459920179388125E-2</v>
      </c>
      <c r="D32" s="22">
        <v>0</v>
      </c>
      <c r="E32" s="22">
        <v>0</v>
      </c>
      <c r="F32" s="22">
        <v>0</v>
      </c>
      <c r="G32" s="22">
        <v>2.8612692411913586E-3</v>
      </c>
      <c r="H32" s="22">
        <v>5.7225384823827172E-3</v>
      </c>
      <c r="I32" s="23"/>
      <c r="J32" s="2"/>
      <c r="K32" s="2"/>
      <c r="L32" s="5"/>
      <c r="M32" s="2"/>
      <c r="N32" s="2"/>
      <c r="O32" s="2"/>
      <c r="P32" s="2"/>
      <c r="Q32" s="2"/>
      <c r="R32" s="2"/>
      <c r="S32" s="2"/>
      <c r="T32" s="2"/>
      <c r="U32" s="2"/>
      <c r="V32" s="2"/>
      <c r="W32" s="2"/>
      <c r="X32" s="2"/>
      <c r="Y32" s="2"/>
      <c r="Z32" s="2"/>
      <c r="AA32" s="2"/>
      <c r="AB32" s="2"/>
      <c r="AC32" s="2"/>
      <c r="AD32" s="2"/>
      <c r="AE32" s="2"/>
      <c r="AF32" s="2"/>
    </row>
    <row r="33" spans="1:32" ht="13.8" x14ac:dyDescent="0.3">
      <c r="A33" s="53">
        <v>0.62948799287350721</v>
      </c>
      <c r="B33" s="48"/>
      <c r="C33" s="24"/>
      <c r="D33" s="12"/>
      <c r="E33" s="12"/>
      <c r="F33" s="12"/>
      <c r="G33" s="12"/>
      <c r="H33" s="12"/>
      <c r="I33" s="25"/>
      <c r="J33" s="2"/>
      <c r="K33" s="2"/>
      <c r="L33" s="2"/>
      <c r="M33" s="2"/>
      <c r="N33" s="2"/>
      <c r="O33" s="2"/>
      <c r="P33" s="2"/>
      <c r="Q33" s="2"/>
      <c r="R33" s="2"/>
      <c r="S33" s="2"/>
      <c r="T33" s="2"/>
      <c r="U33" s="2"/>
      <c r="V33" s="2"/>
      <c r="W33" s="2"/>
      <c r="X33" s="2"/>
      <c r="Y33" s="2"/>
      <c r="Z33" s="2"/>
      <c r="AA33" s="2"/>
      <c r="AB33" s="2"/>
      <c r="AC33" s="2"/>
      <c r="AD33" s="2"/>
      <c r="AE33" s="2"/>
      <c r="AF33" s="2"/>
    </row>
    <row r="34" spans="1:32" x14ac:dyDescent="0.25">
      <c r="A34" s="97"/>
      <c r="B34" s="42"/>
      <c r="C34" s="3"/>
      <c r="D34" s="3"/>
      <c r="E34" s="3"/>
      <c r="F34" s="3"/>
      <c r="G34" s="3"/>
      <c r="H34" s="2"/>
      <c r="I34" s="2"/>
      <c r="J34" s="2"/>
      <c r="K34" s="2"/>
      <c r="L34" s="2"/>
      <c r="M34" s="2"/>
      <c r="N34" s="2"/>
      <c r="O34" s="2"/>
      <c r="P34" s="2"/>
      <c r="Q34" s="2"/>
      <c r="R34" s="2"/>
      <c r="S34" s="2"/>
      <c r="T34" s="2"/>
      <c r="U34" s="2"/>
      <c r="V34" s="2"/>
      <c r="W34" s="2"/>
      <c r="X34" s="2"/>
      <c r="Y34" s="2"/>
      <c r="Z34" s="2"/>
      <c r="AA34" s="2"/>
      <c r="AB34" s="2"/>
      <c r="AC34" s="2"/>
      <c r="AD34" s="2"/>
      <c r="AE34" s="2"/>
      <c r="AF34" s="2"/>
    </row>
    <row r="35" spans="1:32" x14ac:dyDescent="0.25">
      <c r="A35" s="51"/>
      <c r="B35" s="42"/>
      <c r="C35" s="54"/>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8" x14ac:dyDescent="0.3">
      <c r="A36" s="50" t="s">
        <v>37</v>
      </c>
      <c r="B36" s="42" t="s">
        <v>19</v>
      </c>
      <c r="C36" s="21">
        <v>0</v>
      </c>
      <c r="D36" s="22">
        <v>0</v>
      </c>
      <c r="E36" s="22">
        <v>5.4364115582635812E-2</v>
      </c>
      <c r="F36" s="22">
        <v>6.2419840358776249E-2</v>
      </c>
      <c r="G36" s="22">
        <v>6.2419840358776249E-2</v>
      </c>
      <c r="H36" s="22">
        <v>0</v>
      </c>
      <c r="I36" s="23"/>
      <c r="J36" s="2"/>
      <c r="K36" s="2"/>
      <c r="L36" s="2"/>
      <c r="M36" s="2"/>
      <c r="N36" s="2"/>
      <c r="O36" s="2"/>
      <c r="P36" s="2"/>
      <c r="Q36" s="2"/>
      <c r="R36" s="2"/>
      <c r="S36" s="2"/>
      <c r="T36" s="2"/>
      <c r="U36" s="2"/>
      <c r="V36" s="2"/>
      <c r="W36" s="2"/>
      <c r="X36" s="2"/>
      <c r="Y36" s="2"/>
      <c r="Z36" s="2"/>
      <c r="AA36" s="2"/>
      <c r="AB36" s="2"/>
      <c r="AC36" s="2"/>
      <c r="AD36" s="2"/>
      <c r="AE36" s="2"/>
      <c r="AF36" s="2"/>
    </row>
    <row r="37" spans="1:32" ht="13.8" x14ac:dyDescent="0.3">
      <c r="A37" s="51">
        <v>60</v>
      </c>
      <c r="B37" s="42" t="s">
        <v>20</v>
      </c>
      <c r="C37" s="21">
        <v>0</v>
      </c>
      <c r="D37" s="22">
        <v>0</v>
      </c>
      <c r="E37" s="22">
        <v>0</v>
      </c>
      <c r="F37" s="22">
        <v>5.4364115582635812E-2</v>
      </c>
      <c r="G37" s="22">
        <v>0</v>
      </c>
      <c r="H37" s="22">
        <v>0</v>
      </c>
      <c r="I37" s="23"/>
      <c r="J37" s="2"/>
      <c r="K37" s="2"/>
      <c r="L37" s="2"/>
      <c r="M37" s="2"/>
      <c r="N37" s="2"/>
      <c r="O37" s="2"/>
      <c r="P37" s="2"/>
      <c r="Q37" s="2"/>
      <c r="R37" s="2"/>
      <c r="S37" s="2"/>
      <c r="T37" s="2"/>
      <c r="U37" s="2"/>
      <c r="V37" s="2"/>
      <c r="W37" s="2"/>
      <c r="X37" s="2"/>
      <c r="Y37" s="2"/>
      <c r="Z37" s="2"/>
      <c r="AA37" s="2"/>
      <c r="AB37" s="2"/>
      <c r="AC37" s="2"/>
      <c r="AD37" s="2"/>
      <c r="AE37" s="2"/>
      <c r="AF37" s="2"/>
    </row>
    <row r="38" spans="1:32" ht="13.8" x14ac:dyDescent="0.3">
      <c r="A38" s="51"/>
      <c r="B38" s="42" t="s">
        <v>18</v>
      </c>
      <c r="C38" s="21">
        <v>5.4364115582635812E-2</v>
      </c>
      <c r="D38" s="22">
        <v>0</v>
      </c>
      <c r="E38" s="22">
        <v>0.10872823116527162</v>
      </c>
      <c r="F38" s="22">
        <v>5.4364115582635812E-2</v>
      </c>
      <c r="G38" s="22">
        <v>5.4364115582635812E-2</v>
      </c>
      <c r="H38" s="22">
        <v>0</v>
      </c>
      <c r="I38" s="23"/>
      <c r="J38" s="2"/>
      <c r="K38" s="2"/>
      <c r="L38" s="2"/>
      <c r="M38" s="2"/>
      <c r="N38" s="2"/>
      <c r="O38" s="2"/>
      <c r="P38" s="2"/>
      <c r="Q38" s="2"/>
      <c r="R38" s="2"/>
      <c r="S38" s="2"/>
      <c r="T38" s="2"/>
      <c r="U38" s="2"/>
    </row>
    <row r="39" spans="1:32" ht="13.8" x14ac:dyDescent="0.3">
      <c r="A39" s="52" t="s">
        <v>30</v>
      </c>
      <c r="B39" s="42" t="s">
        <v>21</v>
      </c>
      <c r="C39" s="21">
        <v>6.2419840358776249E-2</v>
      </c>
      <c r="D39" s="22">
        <v>5.4364115582635812E-2</v>
      </c>
      <c r="E39" s="22">
        <v>5.4364115582635812E-2</v>
      </c>
      <c r="F39" s="22">
        <v>6.2419840358776249E-2</v>
      </c>
      <c r="G39" s="22">
        <v>6.2419840358776249E-2</v>
      </c>
      <c r="H39" s="22">
        <v>0</v>
      </c>
      <c r="I39" s="23"/>
      <c r="J39" s="2"/>
      <c r="K39" s="2"/>
      <c r="L39" s="2"/>
      <c r="M39" s="2"/>
      <c r="N39" s="2"/>
      <c r="O39" s="2"/>
      <c r="P39" s="2"/>
      <c r="Q39" s="2"/>
      <c r="R39" s="2"/>
      <c r="S39" s="2"/>
      <c r="T39" s="2"/>
      <c r="U39" s="2"/>
    </row>
    <row r="40" spans="1:32" ht="13.8" x14ac:dyDescent="0.3">
      <c r="A40" s="53">
        <v>0.44144019649261179</v>
      </c>
      <c r="B40" s="42" t="s">
        <v>22</v>
      </c>
      <c r="C40" s="21">
        <v>6.2419840358776249E-2</v>
      </c>
      <c r="D40" s="22">
        <v>0</v>
      </c>
      <c r="E40" s="22">
        <v>5.4364115582635812E-2</v>
      </c>
      <c r="F40" s="22">
        <v>6.2419840358776249E-2</v>
      </c>
      <c r="G40" s="22">
        <v>8.6030604551140658E-2</v>
      </c>
      <c r="H40" s="22">
        <v>2.8612692411913586E-3</v>
      </c>
      <c r="I40" s="23"/>
      <c r="J40" s="2"/>
      <c r="K40" s="2"/>
      <c r="M40" s="2"/>
      <c r="N40" s="2"/>
      <c r="O40" s="2"/>
      <c r="P40" s="2"/>
      <c r="Q40" s="2"/>
      <c r="R40" s="2"/>
      <c r="S40" s="2"/>
      <c r="T40" s="2"/>
      <c r="U40" s="2"/>
    </row>
    <row r="41" spans="1:32" ht="13.8" x14ac:dyDescent="0.3">
      <c r="A41" s="1"/>
      <c r="B41" s="47" t="s">
        <v>80</v>
      </c>
      <c r="C41" s="21">
        <v>0</v>
      </c>
      <c r="D41" s="22">
        <v>0</v>
      </c>
      <c r="E41" s="22">
        <v>0</v>
      </c>
      <c r="F41" s="22">
        <v>0</v>
      </c>
      <c r="G41" s="22">
        <v>2.8612692411913586E-3</v>
      </c>
      <c r="H41" s="22">
        <v>5.7225384823827172E-3</v>
      </c>
      <c r="I41" s="23"/>
      <c r="J41" s="2"/>
      <c r="K41" s="2"/>
      <c r="L41" s="2"/>
      <c r="M41" s="2"/>
      <c r="N41" s="2"/>
      <c r="O41" s="2"/>
      <c r="P41" s="2"/>
      <c r="Q41" s="2"/>
      <c r="R41" s="2"/>
      <c r="S41" s="2"/>
      <c r="T41" s="2"/>
      <c r="U41" s="2"/>
    </row>
    <row r="42" spans="1:32" ht="13.8" x14ac:dyDescent="0.3">
      <c r="A42" s="2"/>
      <c r="B42" s="47"/>
      <c r="C42" s="24"/>
      <c r="D42" s="12"/>
      <c r="E42" s="12"/>
      <c r="F42" s="12"/>
      <c r="G42" s="12"/>
      <c r="H42" s="12"/>
      <c r="I42" s="25"/>
      <c r="J42" s="2"/>
      <c r="K42" s="2"/>
      <c r="L42" s="2"/>
      <c r="M42" s="2"/>
      <c r="N42" s="2"/>
      <c r="O42" s="2"/>
      <c r="P42" s="2"/>
      <c r="Q42" s="2"/>
      <c r="R42" s="2"/>
      <c r="S42" s="2"/>
      <c r="T42" s="2"/>
      <c r="U42" s="2"/>
    </row>
    <row r="43" spans="1:32" x14ac:dyDescent="0.25">
      <c r="A43" s="2"/>
      <c r="B43" s="10"/>
      <c r="C43" s="2"/>
      <c r="D43" s="2"/>
      <c r="E43" s="2"/>
      <c r="F43" s="2"/>
      <c r="G43" s="2"/>
      <c r="H43" s="2"/>
      <c r="I43" s="2"/>
      <c r="J43" s="2"/>
      <c r="K43" s="2"/>
      <c r="L43" s="2"/>
      <c r="M43" s="2"/>
      <c r="N43" s="2"/>
      <c r="O43" s="2"/>
      <c r="P43" s="2"/>
      <c r="Q43" s="2"/>
      <c r="R43" s="2"/>
      <c r="S43" s="2"/>
      <c r="T43" s="2"/>
      <c r="U43" s="2"/>
    </row>
    <row r="44" spans="1:32" x14ac:dyDescent="0.25">
      <c r="A44" s="2"/>
      <c r="B44" s="10"/>
      <c r="I44" s="2"/>
      <c r="J44" s="2"/>
      <c r="K44" s="2"/>
      <c r="L44" s="2"/>
      <c r="M44" s="2"/>
      <c r="N44" s="2"/>
      <c r="O44" s="2"/>
      <c r="P44" s="2"/>
      <c r="Q44" s="2"/>
      <c r="R44" s="2"/>
      <c r="S44" s="2"/>
      <c r="T44" s="2"/>
      <c r="U44" s="2"/>
    </row>
    <row r="45" spans="1:32" x14ac:dyDescent="0.25">
      <c r="A45" s="2"/>
      <c r="B45" s="2"/>
      <c r="I45" s="2"/>
      <c r="J45" s="2"/>
      <c r="K45" s="2"/>
      <c r="L45" s="2"/>
      <c r="M45" s="2"/>
      <c r="N45" s="2"/>
      <c r="O45" s="2"/>
      <c r="P45" s="2"/>
      <c r="Q45" s="2"/>
      <c r="R45" s="2"/>
      <c r="S45" s="2"/>
      <c r="T45" s="2"/>
      <c r="U45" s="2"/>
    </row>
    <row r="46" spans="1:32" x14ac:dyDescent="0.25">
      <c r="A46" s="2"/>
      <c r="B46" s="2"/>
      <c r="I46" s="2"/>
      <c r="J46" s="2"/>
      <c r="K46" s="2"/>
      <c r="L46" s="2"/>
      <c r="M46" s="2"/>
      <c r="N46" s="2"/>
      <c r="O46" s="2"/>
      <c r="Q46" s="2"/>
      <c r="R46" s="2"/>
      <c r="S46" s="2"/>
      <c r="T46" s="2"/>
      <c r="U46" s="2"/>
    </row>
    <row r="47" spans="1:32" x14ac:dyDescent="0.25">
      <c r="A47" s="2"/>
      <c r="B47" s="2"/>
      <c r="I47" s="2"/>
      <c r="J47" s="2"/>
      <c r="Q47" s="2"/>
      <c r="R47" s="2"/>
      <c r="S47" s="2"/>
      <c r="T47" s="2"/>
    </row>
    <row r="48" spans="1:32" x14ac:dyDescent="0.25">
      <c r="A48" s="2"/>
      <c r="B48" s="2"/>
      <c r="I48" s="2"/>
      <c r="J48" s="2"/>
    </row>
    <row r="49" spans="1:19" x14ac:dyDescent="0.25">
      <c r="A49" s="2"/>
      <c r="B49" s="2"/>
      <c r="I49" s="2"/>
      <c r="J49" s="2"/>
    </row>
    <row r="50" spans="1:19" x14ac:dyDescent="0.25">
      <c r="A50" s="2"/>
      <c r="B50" s="2"/>
      <c r="I50" s="2"/>
      <c r="J50" s="2"/>
    </row>
    <row r="51" spans="1:19" x14ac:dyDescent="0.25">
      <c r="A51" s="2"/>
      <c r="B51" s="2"/>
      <c r="I51" s="2"/>
      <c r="J51" s="2"/>
    </row>
    <row r="52" spans="1:19" x14ac:dyDescent="0.25">
      <c r="A52" s="2"/>
      <c r="B52" s="2"/>
      <c r="I52" s="2"/>
      <c r="J52" s="2"/>
    </row>
    <row r="53" spans="1:19" x14ac:dyDescent="0.25">
      <c r="B53" s="49" t="s">
        <v>58</v>
      </c>
      <c r="I53" s="2"/>
      <c r="J53" s="2"/>
    </row>
    <row r="54" spans="1:19" x14ac:dyDescent="0.25">
      <c r="B54" s="49" t="s">
        <v>59</v>
      </c>
      <c r="I54" s="2"/>
      <c r="J54" s="2"/>
    </row>
    <row r="55" spans="1:19" x14ac:dyDescent="0.25">
      <c r="B55" s="49" t="s">
        <v>60</v>
      </c>
      <c r="I55" s="2"/>
      <c r="J55" s="2"/>
    </row>
    <row r="57" spans="1:19" x14ac:dyDescent="0.25">
      <c r="S57" t="s">
        <v>0</v>
      </c>
    </row>
  </sheetData>
  <dataValidations count="2">
    <dataValidation type="list" allowBlank="1" showInputMessage="1" showErrorMessage="1" sqref="B13">
      <formula1>$B$53:$B$55</formula1>
    </dataValidation>
    <dataValidation type="whole" operator="lessThan" allowBlank="1" showInputMessage="1" showErrorMessage="1" error="max number is 15" sqref="J2">
      <formula1>16</formula1>
    </dataValidation>
  </dataValidations>
  <pageMargins left="0.75" right="0.75" top="1" bottom="1" header="0.5" footer="0.5"/>
  <pageSetup orientation="portrait"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C3:U30"/>
  <sheetViews>
    <sheetView topLeftCell="D7" workbookViewId="0">
      <selection activeCell="T29" sqref="T29"/>
    </sheetView>
  </sheetViews>
  <sheetFormatPr defaultRowHeight="13.2" x14ac:dyDescent="0.25"/>
  <cols>
    <col min="3" max="3" width="22.6640625" customWidth="1"/>
    <col min="4" max="10" width="4.77734375" customWidth="1"/>
    <col min="11" max="11" width="6.6640625" customWidth="1"/>
    <col min="12" max="15" width="4.77734375" customWidth="1"/>
    <col min="16" max="16" width="5.88671875" customWidth="1"/>
    <col min="17" max="17" width="6.21875" customWidth="1"/>
    <col min="18" max="18" width="6.33203125" customWidth="1"/>
  </cols>
  <sheetData>
    <row r="3" spans="3:17" ht="13.8" thickBot="1" x14ac:dyDescent="0.3"/>
    <row r="4" spans="3:17" ht="13.8" thickBot="1" x14ac:dyDescent="0.3">
      <c r="F4" s="124"/>
      <c r="G4" s="125"/>
      <c r="H4" s="126"/>
      <c r="I4" s="109"/>
      <c r="J4" s="109"/>
      <c r="K4" s="109"/>
      <c r="L4" s="109"/>
      <c r="M4" s="109"/>
      <c r="N4" s="109"/>
      <c r="O4" s="109"/>
      <c r="P4" s="109"/>
      <c r="Q4" s="110"/>
    </row>
    <row r="5" spans="3:17" x14ac:dyDescent="0.25">
      <c r="F5" s="127"/>
      <c r="G5" s="132"/>
      <c r="H5" s="126"/>
      <c r="I5" s="112"/>
      <c r="J5" s="112"/>
      <c r="K5" s="112"/>
      <c r="L5" s="112"/>
      <c r="M5" s="112"/>
      <c r="N5" s="112"/>
      <c r="O5" s="112"/>
      <c r="P5" s="112"/>
      <c r="Q5" s="113"/>
    </row>
    <row r="6" spans="3:17" ht="13.8" thickBot="1" x14ac:dyDescent="0.3">
      <c r="F6" s="129"/>
      <c r="G6" s="129"/>
      <c r="H6" s="131"/>
      <c r="I6" s="112"/>
      <c r="J6" s="112"/>
      <c r="K6" s="112"/>
      <c r="L6" s="112"/>
      <c r="M6" s="112"/>
      <c r="N6" s="112"/>
      <c r="O6" s="112"/>
      <c r="P6" s="112"/>
      <c r="Q6" s="113"/>
    </row>
    <row r="7" spans="3:17" x14ac:dyDescent="0.25">
      <c r="F7" s="111"/>
      <c r="G7" s="112"/>
      <c r="H7" s="112"/>
      <c r="I7" s="132"/>
      <c r="J7" s="125"/>
      <c r="K7" s="125"/>
      <c r="L7" s="133"/>
      <c r="M7" s="133"/>
      <c r="N7" s="133"/>
      <c r="O7" s="133"/>
      <c r="P7" s="133"/>
      <c r="Q7" s="134"/>
    </row>
    <row r="8" spans="3:17" x14ac:dyDescent="0.25">
      <c r="F8" s="111"/>
      <c r="G8" s="112"/>
      <c r="H8" s="112"/>
      <c r="I8" s="127"/>
      <c r="J8" s="118"/>
      <c r="K8" s="116"/>
      <c r="L8" s="112"/>
      <c r="M8" s="112"/>
      <c r="N8" s="112"/>
      <c r="O8" s="112"/>
      <c r="P8" s="112"/>
      <c r="Q8" s="135"/>
    </row>
    <row r="9" spans="3:17" x14ac:dyDescent="0.25">
      <c r="F9" s="111"/>
      <c r="G9" s="112"/>
      <c r="H9" s="112"/>
      <c r="I9" s="127"/>
      <c r="J9" s="116"/>
      <c r="K9" s="118"/>
      <c r="L9" s="112"/>
      <c r="M9" s="112"/>
      <c r="N9" s="112"/>
      <c r="O9" s="112"/>
      <c r="P9" s="112"/>
      <c r="Q9" s="135"/>
    </row>
    <row r="10" spans="3:17" x14ac:dyDescent="0.25">
      <c r="F10" s="111"/>
      <c r="G10" s="112"/>
      <c r="H10" s="112"/>
      <c r="I10" s="136"/>
      <c r="J10" s="112"/>
      <c r="K10" s="112"/>
      <c r="L10" s="118"/>
      <c r="M10" s="116"/>
      <c r="N10" s="116"/>
      <c r="O10" s="112"/>
      <c r="P10" s="112"/>
      <c r="Q10" s="135"/>
    </row>
    <row r="11" spans="3:17" x14ac:dyDescent="0.25">
      <c r="F11" s="111"/>
      <c r="G11" s="112"/>
      <c r="H11" s="112"/>
      <c r="I11" s="136"/>
      <c r="J11" s="112"/>
      <c r="K11" s="112"/>
      <c r="L11" s="116"/>
      <c r="M11" s="118"/>
      <c r="N11" s="116"/>
      <c r="O11" s="112"/>
      <c r="P11" s="112"/>
      <c r="Q11" s="135"/>
    </row>
    <row r="12" spans="3:17" x14ac:dyDescent="0.25">
      <c r="F12" s="111"/>
      <c r="G12" s="112"/>
      <c r="H12" s="112"/>
      <c r="I12" s="136"/>
      <c r="J12" s="112"/>
      <c r="K12" s="112"/>
      <c r="L12" s="116"/>
      <c r="M12" s="116"/>
      <c r="N12" s="118"/>
      <c r="O12" s="112"/>
      <c r="P12" s="112"/>
      <c r="Q12" s="135"/>
    </row>
    <row r="13" spans="3:17" x14ac:dyDescent="0.25">
      <c r="F13" s="111"/>
      <c r="G13" s="112"/>
      <c r="H13" s="112"/>
      <c r="I13" s="136"/>
      <c r="J13" s="112"/>
      <c r="K13" s="112"/>
      <c r="L13" s="112"/>
      <c r="M13" s="112"/>
      <c r="N13" s="112"/>
      <c r="O13" s="118"/>
      <c r="P13" s="116"/>
      <c r="Q13" s="128"/>
    </row>
    <row r="14" spans="3:17" ht="13.8" x14ac:dyDescent="0.3">
      <c r="C14" s="29" t="s">
        <v>13</v>
      </c>
      <c r="D14" s="36">
        <v>0.25</v>
      </c>
      <c r="F14" s="111"/>
      <c r="G14" s="112"/>
      <c r="H14" s="112"/>
      <c r="I14" s="136"/>
      <c r="J14" s="112"/>
      <c r="K14" s="112"/>
      <c r="L14" s="112"/>
      <c r="M14" s="112"/>
      <c r="N14" s="112"/>
      <c r="O14" s="116"/>
      <c r="P14" s="118"/>
      <c r="Q14" s="128"/>
    </row>
    <row r="15" spans="3:17" ht="14.4" thickBot="1" x14ac:dyDescent="0.35">
      <c r="C15" s="37" t="s">
        <v>7</v>
      </c>
      <c r="D15" s="94">
        <v>0.15</v>
      </c>
      <c r="F15" s="114"/>
      <c r="G15" s="115"/>
      <c r="H15" s="115"/>
      <c r="I15" s="137"/>
      <c r="J15" s="138"/>
      <c r="K15" s="138"/>
      <c r="L15" s="138"/>
      <c r="M15" s="138"/>
      <c r="N15" s="138"/>
      <c r="O15" s="130"/>
      <c r="P15" s="130"/>
      <c r="Q15" s="131"/>
    </row>
    <row r="17" spans="3:21" ht="13.8" x14ac:dyDescent="0.3">
      <c r="C17" s="29" t="s">
        <v>55</v>
      </c>
      <c r="D17" s="36">
        <v>4</v>
      </c>
      <c r="E17" s="49" t="s">
        <v>84</v>
      </c>
      <c r="I17" s="49" t="s">
        <v>89</v>
      </c>
      <c r="K17" s="49" t="s">
        <v>87</v>
      </c>
    </row>
    <row r="18" spans="3:21" ht="13.8" x14ac:dyDescent="0.3">
      <c r="C18" s="29" t="s">
        <v>56</v>
      </c>
      <c r="D18" s="36">
        <v>3</v>
      </c>
      <c r="E18" s="49" t="s">
        <v>85</v>
      </c>
      <c r="I18" s="49" t="s">
        <v>88</v>
      </c>
      <c r="K18" s="49" t="s">
        <v>86</v>
      </c>
      <c r="L18">
        <f>D17*D18</f>
        <v>12</v>
      </c>
      <c r="M18" s="49" t="s">
        <v>90</v>
      </c>
      <c r="Q18" s="49" t="s">
        <v>91</v>
      </c>
    </row>
    <row r="19" spans="3:21" x14ac:dyDescent="0.25">
      <c r="E19" s="101"/>
      <c r="F19" s="119" t="s">
        <v>100</v>
      </c>
      <c r="G19" s="102"/>
      <c r="H19" s="119" t="s">
        <v>104</v>
      </c>
      <c r="I19" s="102"/>
      <c r="J19" s="102"/>
      <c r="K19" s="102"/>
      <c r="L19" s="101"/>
      <c r="M19" s="119" t="s">
        <v>101</v>
      </c>
      <c r="N19" s="102"/>
      <c r="O19" s="119" t="s">
        <v>104</v>
      </c>
      <c r="P19" s="102"/>
      <c r="Q19" s="102"/>
      <c r="R19" s="103"/>
    </row>
    <row r="20" spans="3:21" ht="23.4" x14ac:dyDescent="0.25">
      <c r="E20" s="139">
        <f>D18*D18</f>
        <v>9</v>
      </c>
      <c r="F20" s="120" t="s">
        <v>92</v>
      </c>
      <c r="G20" s="105"/>
      <c r="H20" s="105"/>
      <c r="I20" s="105"/>
      <c r="J20" s="105"/>
      <c r="K20" s="123" t="s">
        <v>94</v>
      </c>
      <c r="L20" s="104">
        <f>L18*12</f>
        <v>144</v>
      </c>
      <c r="M20" s="120" t="s">
        <v>92</v>
      </c>
      <c r="N20" s="105"/>
      <c r="O20" s="105"/>
      <c r="P20" s="105"/>
      <c r="Q20" s="105"/>
      <c r="R20" s="121" t="s">
        <v>94</v>
      </c>
      <c r="T20" s="49" t="s">
        <v>97</v>
      </c>
    </row>
    <row r="21" spans="3:21" x14ac:dyDescent="0.25">
      <c r="E21" s="139">
        <f>D18</f>
        <v>3</v>
      </c>
      <c r="F21" s="120" t="s">
        <v>93</v>
      </c>
      <c r="G21" s="105"/>
      <c r="H21" s="105"/>
      <c r="I21" s="105"/>
      <c r="J21" s="118"/>
      <c r="K21" s="105">
        <v>1</v>
      </c>
      <c r="L21" s="104">
        <f>L18</f>
        <v>12</v>
      </c>
      <c r="M21" s="120" t="s">
        <v>93</v>
      </c>
      <c r="N21" s="105"/>
      <c r="O21" s="105"/>
      <c r="P21" s="105"/>
      <c r="Q21" s="118"/>
      <c r="R21" s="106">
        <v>1</v>
      </c>
      <c r="T21">
        <f>L21*R21</f>
        <v>12</v>
      </c>
    </row>
    <row r="22" spans="3:21" x14ac:dyDescent="0.25">
      <c r="E22" s="140">
        <f>E20-E21</f>
        <v>6</v>
      </c>
      <c r="F22" s="122" t="s">
        <v>95</v>
      </c>
      <c r="G22" s="108"/>
      <c r="H22" s="108"/>
      <c r="I22" s="108"/>
      <c r="J22" s="117"/>
      <c r="K22" s="142">
        <f>D14/2+D15</f>
        <v>0.27500000000000002</v>
      </c>
      <c r="L22" s="104">
        <f>D17*D18*D18-L18</f>
        <v>24</v>
      </c>
      <c r="M22" s="120" t="s">
        <v>95</v>
      </c>
      <c r="N22" s="105"/>
      <c r="O22" s="105"/>
      <c r="P22" s="105"/>
      <c r="Q22" s="116"/>
      <c r="R22" s="144">
        <f>D14/2+D15</f>
        <v>0.27500000000000002</v>
      </c>
      <c r="T22">
        <f>L22*R22</f>
        <v>6.6000000000000005</v>
      </c>
    </row>
    <row r="23" spans="3:21" x14ac:dyDescent="0.25">
      <c r="L23" s="107"/>
      <c r="M23" s="108"/>
      <c r="N23" s="108"/>
      <c r="O23" s="108"/>
      <c r="P23" s="108"/>
      <c r="Q23" s="115"/>
      <c r="R23" s="145">
        <f>D14/4</f>
        <v>6.25E-2</v>
      </c>
      <c r="T23">
        <f>L23*R23</f>
        <v>0</v>
      </c>
    </row>
    <row r="24" spans="3:21" x14ac:dyDescent="0.25">
      <c r="E24" s="49" t="s">
        <v>105</v>
      </c>
      <c r="L24" s="49" t="s">
        <v>106</v>
      </c>
      <c r="T24">
        <f>SUM(T21:T23)</f>
        <v>18.600000000000001</v>
      </c>
      <c r="U24" s="49" t="s">
        <v>98</v>
      </c>
    </row>
    <row r="25" spans="3:21" x14ac:dyDescent="0.25">
      <c r="E25" s="101"/>
      <c r="F25" s="119" t="s">
        <v>102</v>
      </c>
      <c r="G25" s="102"/>
      <c r="H25" s="102"/>
      <c r="I25" s="102"/>
      <c r="J25" s="141">
        <f>D18-1</f>
        <v>2</v>
      </c>
      <c r="K25" s="102"/>
      <c r="L25" s="101"/>
      <c r="M25" s="119" t="s">
        <v>103</v>
      </c>
      <c r="N25" s="102"/>
      <c r="O25" s="102"/>
      <c r="P25" s="102"/>
      <c r="Q25" s="141">
        <f>L21-E21</f>
        <v>9</v>
      </c>
      <c r="R25" s="103"/>
      <c r="T25">
        <f>T24/L20</f>
        <v>0.12916666666666668</v>
      </c>
      <c r="U25" s="49" t="s">
        <v>99</v>
      </c>
    </row>
    <row r="26" spans="3:21" ht="23.4" x14ac:dyDescent="0.25">
      <c r="E26" s="139">
        <f>J25*J25</f>
        <v>4</v>
      </c>
      <c r="F26" s="120" t="s">
        <v>92</v>
      </c>
      <c r="G26" s="105"/>
      <c r="H26" s="105"/>
      <c r="I26" s="105"/>
      <c r="J26" s="105"/>
      <c r="K26" s="123" t="s">
        <v>94</v>
      </c>
      <c r="L26" s="146">
        <f>Q25*Q25</f>
        <v>81</v>
      </c>
      <c r="M26" s="120" t="s">
        <v>92</v>
      </c>
      <c r="N26" s="105"/>
      <c r="O26" s="105"/>
      <c r="P26" s="105"/>
      <c r="Q26" s="105"/>
      <c r="R26" s="121" t="s">
        <v>94</v>
      </c>
    </row>
    <row r="27" spans="3:21" x14ac:dyDescent="0.25">
      <c r="E27" s="139">
        <f>J25</f>
        <v>2</v>
      </c>
      <c r="F27" s="120" t="s">
        <v>93</v>
      </c>
      <c r="G27" s="105"/>
      <c r="H27" s="105"/>
      <c r="I27" s="105"/>
      <c r="J27" s="118"/>
      <c r="K27" s="105">
        <f>K21</f>
        <v>1</v>
      </c>
      <c r="L27" s="146">
        <f>Q25</f>
        <v>9</v>
      </c>
      <c r="M27" s="120" t="s">
        <v>93</v>
      </c>
      <c r="N27" s="105"/>
      <c r="O27" s="105"/>
      <c r="P27" s="105"/>
      <c r="Q27" s="118"/>
      <c r="R27" s="106">
        <f>R21</f>
        <v>1</v>
      </c>
    </row>
    <row r="28" spans="3:21" x14ac:dyDescent="0.25">
      <c r="E28" s="140">
        <f>E26-E27</f>
        <v>2</v>
      </c>
      <c r="F28" s="122" t="s">
        <v>95</v>
      </c>
      <c r="G28" s="108"/>
      <c r="H28" s="108"/>
      <c r="I28" s="108"/>
      <c r="J28" s="117"/>
      <c r="K28" s="105">
        <f>K22</f>
        <v>0.27500000000000002</v>
      </c>
      <c r="L28" s="146">
        <f>(D17-1)*(D18*D18-D18)</f>
        <v>18</v>
      </c>
      <c r="M28" s="120" t="s">
        <v>95</v>
      </c>
      <c r="N28" s="105"/>
      <c r="O28" s="105"/>
      <c r="P28" s="105"/>
      <c r="Q28" s="116"/>
      <c r="R28" s="144">
        <f t="shared" ref="R28:R29" si="0">R22</f>
        <v>0.27500000000000002</v>
      </c>
    </row>
    <row r="29" spans="3:21" x14ac:dyDescent="0.25">
      <c r="L29" s="147">
        <f>(D17-1)*(D17-1)*(D18*D18)-(D17-1)*(D18*D18)</f>
        <v>54</v>
      </c>
      <c r="M29" s="122" t="s">
        <v>96</v>
      </c>
      <c r="N29" s="108"/>
      <c r="O29" s="108"/>
      <c r="P29" s="108"/>
      <c r="Q29" s="115"/>
      <c r="R29" s="144">
        <f t="shared" si="0"/>
        <v>6.25E-2</v>
      </c>
    </row>
    <row r="30" spans="3:21" x14ac:dyDescent="0.25">
      <c r="J30" s="149" t="s">
        <v>107</v>
      </c>
      <c r="K30" s="148">
        <f>(E27*K27+E28*K28)/E26</f>
        <v>0.63749999999999996</v>
      </c>
      <c r="Q30" s="149" t="s">
        <v>107</v>
      </c>
      <c r="R30" s="143">
        <f>(L27*R27+L28*R28+L29*R29)/L26</f>
        <v>0.21388888888888888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D16"/>
  <sheetViews>
    <sheetView workbookViewId="0">
      <selection activeCell="H6" sqref="H6"/>
    </sheetView>
  </sheetViews>
  <sheetFormatPr defaultRowHeight="13.2" x14ac:dyDescent="0.25"/>
  <cols>
    <col min="2" max="2" width="13.6640625" customWidth="1"/>
  </cols>
  <sheetData>
    <row r="2" spans="2:4" x14ac:dyDescent="0.25">
      <c r="B2" s="49" t="s">
        <v>70</v>
      </c>
    </row>
    <row r="4" spans="2:4" x14ac:dyDescent="0.25">
      <c r="D4" s="49" t="s">
        <v>71</v>
      </c>
    </row>
    <row r="8" spans="2:4" x14ac:dyDescent="0.25">
      <c r="B8" s="49" t="s">
        <v>72</v>
      </c>
      <c r="C8" s="49" t="s">
        <v>83</v>
      </c>
    </row>
    <row r="11" spans="2:4" x14ac:dyDescent="0.25">
      <c r="B11" s="49" t="s">
        <v>73</v>
      </c>
      <c r="C11" s="49" t="s">
        <v>74</v>
      </c>
    </row>
    <row r="13" spans="2:4" x14ac:dyDescent="0.25">
      <c r="B13" s="49" t="s">
        <v>75</v>
      </c>
      <c r="C13" s="49" t="s">
        <v>76</v>
      </c>
    </row>
    <row r="14" spans="2:4" x14ac:dyDescent="0.25">
      <c r="D14" s="49" t="s">
        <v>82</v>
      </c>
    </row>
    <row r="15" spans="2:4" x14ac:dyDescent="0.25">
      <c r="D15" s="49" t="s">
        <v>81</v>
      </c>
    </row>
    <row r="16" spans="2:4" x14ac:dyDescent="0.25">
      <c r="D16" s="49" t="s">
        <v>77</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2" x14ac:dyDescent="0.25"/>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STSELIND</vt:lpstr>
      <vt:lpstr>STSELINDMBV</vt:lpstr>
      <vt:lpstr>PseudoBLUP</vt:lpstr>
      <vt:lpstr>example covarstructure</vt:lpstr>
      <vt:lpstr>About</vt:lpstr>
      <vt:lpstr>Sheet3</vt:lpstr>
    </vt:vector>
  </TitlesOfParts>
  <Company>animal science UNE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jvanderwerf</dc:creator>
  <cp:lastModifiedBy>vanderwerf</cp:lastModifiedBy>
  <dcterms:created xsi:type="dcterms:W3CDTF">1999-08-04T13:10:37Z</dcterms:created>
  <dcterms:modified xsi:type="dcterms:W3CDTF">2015-05-15T19:33:58Z</dcterms:modified>
</cp:coreProperties>
</file>