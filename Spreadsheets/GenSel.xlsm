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750" yWindow="975" windowWidth="11295" windowHeight="9630" tabRatio="741" firstSheet="1" activeTab="1"/>
  </bookViews>
  <sheets>
    <sheet name="Instructions" sheetId="9" r:id="rId1"/>
    <sheet name="ControlCenter" sheetId="17" r:id="rId2"/>
    <sheet name="Genetic Parameters" sheetId="14" r:id="rId3"/>
    <sheet name="Selection Index Sheet" sheetId="6" r:id="rId4"/>
    <sheet name="Economic values - Indexes" sheetId="10" r:id="rId5"/>
    <sheet name="Age optimization" sheetId="15" state="hidden" r:id="rId6"/>
  </sheets>
  <functionGroups builtInGroupCount="17"/>
  <definedNames>
    <definedName name="_xlnm._FilterDatabase" localSheetId="3" hidden="1">'Selection Index Sheet'!$A$1:$R$140</definedName>
    <definedName name="mxt">'Selection Index Sheet'!$D$1</definedName>
    <definedName name="nt" localSheetId="3">'Selection Index Sheet'!$A$3</definedName>
    <definedName name="nt">#REF!</definedName>
    <definedName name="ntx">'Selection Index Sheet'!$A$3</definedName>
    <definedName name="t">#REF!</definedName>
  </definedNames>
  <calcPr calcId="145621" calcOnSave="0" concurrentCalc="0"/>
</workbook>
</file>

<file path=xl/calcChain.xml><?xml version="1.0" encoding="utf-8"?>
<calcChain xmlns="http://schemas.openxmlformats.org/spreadsheetml/2006/main">
  <c r="O19" i="17" l="1"/>
  <c r="O20" i="17"/>
  <c r="B67" i="14"/>
  <c r="B66" i="14"/>
  <c r="J60" i="17"/>
  <c r="K60" i="17"/>
  <c r="L60" i="17"/>
  <c r="U25" i="17"/>
  <c r="H2" i="14"/>
  <c r="G2" i="14"/>
  <c r="M24" i="17"/>
  <c r="P24" i="17"/>
  <c r="L24" i="17"/>
  <c r="Q24" i="17"/>
  <c r="A9" i="15"/>
  <c r="A10" i="15"/>
  <c r="A11" i="15"/>
  <c r="A12" i="15"/>
  <c r="A13" i="15"/>
  <c r="A14" i="15"/>
  <c r="R24" i="17"/>
  <c r="T24" i="17"/>
  <c r="S24" i="17"/>
  <c r="O24" i="17"/>
  <c r="U16" i="17"/>
  <c r="T16" i="17"/>
  <c r="L7" i="17"/>
  <c r="L8" i="17"/>
  <c r="L9" i="17"/>
  <c r="L10" i="17"/>
  <c r="L11" i="17"/>
  <c r="L12" i="17"/>
  <c r="L13" i="17"/>
  <c r="L14" i="17"/>
  <c r="L15" i="17"/>
  <c r="O7" i="17"/>
  <c r="O8" i="17"/>
  <c r="O9" i="17"/>
  <c r="O10" i="17"/>
  <c r="O11" i="17"/>
  <c r="O12" i="17"/>
  <c r="O13" i="17"/>
  <c r="O14" i="17"/>
  <c r="O15" i="17"/>
  <c r="T17" i="17" a="1"/>
  <c r="T17" i="17"/>
  <c r="U17" i="17" a="1"/>
  <c r="U17" i="17"/>
  <c r="J27" i="15" a="1"/>
  <c r="J27" i="15"/>
  <c r="B34" i="10" a="1"/>
  <c r="B41" i="10"/>
  <c r="A67" i="14"/>
  <c r="A66" i="14"/>
  <c r="B40" i="10"/>
  <c r="B39" i="10"/>
  <c r="B38" i="10"/>
  <c r="B37" i="10"/>
  <c r="B36" i="10"/>
  <c r="B35" i="10"/>
  <c r="B34" i="10"/>
  <c r="R5" i="15" a="1"/>
  <c r="R5" i="15"/>
  <c r="R12" i="15"/>
  <c r="R8" i="15"/>
  <c r="R11" i="15"/>
  <c r="R7" i="15"/>
  <c r="R14" i="15"/>
  <c r="R10" i="15"/>
  <c r="R6" i="15"/>
  <c r="R13" i="15"/>
  <c r="R9" i="15"/>
  <c r="N15" i="15"/>
  <c r="M15" i="15"/>
  <c r="A97" i="15"/>
  <c r="A96" i="15"/>
  <c r="P22" i="15"/>
  <c r="N22" i="15"/>
  <c r="I15" i="15"/>
  <c r="H15" i="15"/>
  <c r="A6" i="15"/>
  <c r="A7" i="15"/>
  <c r="A8" i="15"/>
  <c r="O22" i="15"/>
  <c r="O23" i="15"/>
  <c r="Q22" i="15"/>
  <c r="L19" i="15"/>
  <c r="N20" i="15"/>
  <c r="N19" i="15"/>
</calcChain>
</file>

<file path=xl/comments1.xml><?xml version="1.0" encoding="utf-8"?>
<comments xmlns="http://schemas.openxmlformats.org/spreadsheetml/2006/main">
  <authors>
    <author>jvanderw</author>
    <author>vanderwerf</author>
  </authors>
  <commentList>
    <comment ref="U3" authorId="0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0 is not measured
1 is measured
2 is repeatedly measured
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0 is not measured
1 is measured
2 is repeatedly measured
</t>
        </r>
      </text>
    </comment>
    <comment ref="X4" authorId="1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filled out by program</t>
        </r>
      </text>
    </comment>
    <comment ref="N15" authorId="0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0 is not measured
1 is measured
2 is repeatedly measured
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0 is not measured
1 is measured
2 is repeatedly measured
</t>
        </r>
      </text>
    </comment>
    <comment ref="Q15" authorId="1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filled out by program</t>
        </r>
      </text>
    </comment>
  </commentList>
</comments>
</file>

<file path=xl/comments2.xml><?xml version="1.0" encoding="utf-8"?>
<comments xmlns="http://schemas.openxmlformats.org/spreadsheetml/2006/main">
  <authors>
    <author>vanderwerf</author>
    <author>jvanderw</author>
  </authors>
  <commentList>
    <comment ref="T4" authorId="0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This is optional
invoked if CellB14 is "NO"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mating ratio of rams if used in first year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 xml:space="preserve">vanderwerf:
</t>
        </r>
        <r>
          <rPr>
            <sz val="9"/>
            <color indexed="81"/>
            <rFont val="Tahoma"/>
            <family val="2"/>
          </rPr>
          <t xml:space="preserve">WR of maiden ewes if used in first year
</t>
        </r>
      </text>
    </comment>
    <comment ref="B14" authorId="1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if No, used fixed age structure, fill out sheet "age optim'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1= sire pedigree only
2 = sire + dam</t>
        </r>
      </text>
    </comment>
    <comment ref="C22" authorId="1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0 is not measured
1 is measured
2 is repeatedly measured
</t>
        </r>
      </text>
    </comment>
    <comment ref="D22" authorId="1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0 is not measured
1 is measured
2 is repeatedly measured
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filled out by program</t>
        </r>
      </text>
    </comment>
  </commentList>
</comments>
</file>

<file path=xl/comments3.xml><?xml version="1.0" encoding="utf-8"?>
<comments xmlns="http://schemas.openxmlformats.org/spreadsheetml/2006/main">
  <authors>
    <author>vanderwerf</author>
    <author>van der werf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vanderwerf:</t>
        </r>
        <r>
          <rPr>
            <sz val="9"/>
            <color indexed="81"/>
            <rFont val="Tahoma"/>
            <family val="2"/>
          </rPr>
          <t xml:space="preserve">
variances on diagonal, correlations on off diagonal</t>
        </r>
      </text>
    </comment>
    <comment ref="BU2" authorId="1">
      <text>
        <r>
          <rPr>
            <b/>
            <sz val="8"/>
            <color indexed="81"/>
            <rFont val="Tahoma"/>
            <family val="2"/>
          </rPr>
          <t>van der werf:</t>
        </r>
        <r>
          <rPr>
            <sz val="8"/>
            <color indexed="81"/>
            <rFont val="Tahoma"/>
            <family val="2"/>
          </rPr>
          <t xml:space="preserve">
1=yr1 males+fem
2&gt;yr1 males + fem
3=yr1 fem only
4&gt;yr1 fem only</t>
        </r>
      </text>
    </comment>
    <comment ref="BW2" authorId="1">
      <text>
        <r>
          <rPr>
            <b/>
            <sz val="8"/>
            <color indexed="81"/>
            <rFont val="Tahoma"/>
            <family val="2"/>
          </rPr>
          <t>van der werf:</t>
        </r>
        <r>
          <rPr>
            <sz val="8"/>
            <color indexed="81"/>
            <rFont val="Tahoma"/>
            <family val="2"/>
          </rPr>
          <t xml:space="preserve">
1=yr1 males+fem
2&gt;yr1 males + fem
3=yr1 fem only
4&gt;yr1 fem only</t>
        </r>
      </text>
    </comment>
  </commentList>
</comments>
</file>

<file path=xl/comments4.xml><?xml version="1.0" encoding="utf-8"?>
<comments xmlns="http://schemas.openxmlformats.org/spreadsheetml/2006/main">
  <authors>
    <author>van der werf</author>
    <author>jvanderw</author>
  </authors>
  <commentList>
    <comment ref="K4" authorId="0">
      <text>
        <r>
          <rPr>
            <b/>
            <sz val="8"/>
            <color indexed="81"/>
            <rFont val="Tahoma"/>
            <family val="2"/>
          </rPr>
          <t>van der werf:</t>
        </r>
        <r>
          <rPr>
            <sz val="8"/>
            <color indexed="81"/>
            <rFont val="Tahoma"/>
            <family val="2"/>
          </rPr>
          <t xml:space="preserve">
0 = not measured
1 = females only
2 = both sexes
3 = males only
11 = females repeated
22 = both sexes repeated</t>
        </r>
      </text>
    </comment>
    <comment ref="L4" authorId="1">
      <text>
        <r>
          <rPr>
            <b/>
            <sz val="9"/>
            <color indexed="81"/>
            <rFont val="Tahoma"/>
            <family val="2"/>
          </rPr>
          <t>jvanderw:</t>
        </r>
        <r>
          <rPr>
            <sz val="9"/>
            <color indexed="81"/>
            <rFont val="Tahoma"/>
            <family val="2"/>
          </rPr>
          <t xml:space="preserve">
in years, use decimals if appropriate, for repetaed, use first year of measurement</t>
        </r>
      </text>
    </comment>
  </commentList>
</comments>
</file>

<file path=xl/sharedStrings.xml><?xml version="1.0" encoding="utf-8"?>
<sst xmlns="http://schemas.openxmlformats.org/spreadsheetml/2006/main" count="486" uniqueCount="245">
  <si>
    <t>Name</t>
  </si>
  <si>
    <t>Units</t>
  </si>
  <si>
    <t>Trait</t>
  </si>
  <si>
    <t>Parameters</t>
  </si>
  <si>
    <t>light blue cells</t>
  </si>
  <si>
    <t xml:space="preserve">Nr of traits  </t>
  </si>
  <si>
    <t>Input</t>
  </si>
  <si>
    <t>Physical</t>
  </si>
  <si>
    <t>Dollar value</t>
  </si>
  <si>
    <t xml:space="preserve">  </t>
  </si>
  <si>
    <t xml:space="preserve"> </t>
  </si>
  <si>
    <t>Max number of traits</t>
  </si>
  <si>
    <t>accuracy</t>
  </si>
  <si>
    <t>Desired Gains</t>
  </si>
  <si>
    <t>(see for this MTINDEX_DESGAIN)</t>
  </si>
  <si>
    <t>Multiple Stage Selection</t>
  </si>
  <si>
    <t>It does not handle</t>
  </si>
  <si>
    <t>Produced by</t>
  </si>
  <si>
    <t>Julius van der Werf</t>
  </si>
  <si>
    <t>University of New England</t>
  </si>
  <si>
    <t>Armidale, Australia</t>
  </si>
  <si>
    <t>julius.vanderwerf@une.edu.au</t>
  </si>
  <si>
    <t>http://www-personal.une.edu.au/~jvanderw/</t>
  </si>
  <si>
    <t>other tools:</t>
  </si>
  <si>
    <t>http://www-personal.une.edu.au/~jvanderw/software.htm</t>
  </si>
  <si>
    <t>Phenotypic Stand. Dev.</t>
  </si>
  <si>
    <t>Heritability</t>
  </si>
  <si>
    <t>Repeatability</t>
  </si>
  <si>
    <t>c2 among full sibs</t>
  </si>
  <si>
    <t>Economic Value</t>
  </si>
  <si>
    <t>Correlation Structure</t>
  </si>
  <si>
    <t>Accuracy</t>
  </si>
  <si>
    <t>Genetic variance-correlation matrix</t>
  </si>
  <si>
    <t>Birth weight</t>
  </si>
  <si>
    <t>ABBREV</t>
  </si>
  <si>
    <t>UNITS</t>
  </si>
  <si>
    <t>H2</t>
  </si>
  <si>
    <t>age when</t>
  </si>
  <si>
    <t>males</t>
  </si>
  <si>
    <t>females</t>
  </si>
  <si>
    <t>N in group</t>
  </si>
  <si>
    <t>mean</t>
  </si>
  <si>
    <t xml:space="preserve">   Proportion Selected</t>
  </si>
  <si>
    <t xml:space="preserve">               Nr Selected</t>
  </si>
  <si>
    <t>Total</t>
  </si>
  <si>
    <t>Age of selected (GenInt)</t>
  </si>
  <si>
    <t>Nr of breeding females</t>
  </si>
  <si>
    <t>progress per year</t>
  </si>
  <si>
    <t xml:space="preserve">is </t>
  </si>
  <si>
    <t>Mating ratio (females/male)</t>
  </si>
  <si>
    <t>sex</t>
  </si>
  <si>
    <t>Weaning rate</t>
  </si>
  <si>
    <t>parent superiority</t>
  </si>
  <si>
    <t>generation interval</t>
  </si>
  <si>
    <t>Nr progeny born per year</t>
  </si>
  <si>
    <t>Age first</t>
  </si>
  <si>
    <t>Measurement</t>
  </si>
  <si>
    <t>Index type</t>
  </si>
  <si>
    <t>Optimizes selection across age classes (it calculates index accuracy for each age class and each sex and optimizes generation interval)</t>
  </si>
  <si>
    <t>GenomicSelection (modeled by defining a  "VQTL" for each trait, i.e. what proportion of VA can be predicted)</t>
  </si>
  <si>
    <t>Various  industry indexes to be implemented. Can choose an index and the objective traits as well as the 'measured traits' will populate the main sheet.</t>
  </si>
  <si>
    <t>age</t>
  </si>
  <si>
    <t>units</t>
  </si>
  <si>
    <t>overall</t>
  </si>
  <si>
    <t xml:space="preserve">    FIX AGE CLASS PROPRTIONS HERE</t>
  </si>
  <si>
    <t>Accuracies</t>
  </si>
  <si>
    <t>Responses</t>
  </si>
  <si>
    <t>progeny drop</t>
  </si>
  <si>
    <t>proportion of selected</t>
  </si>
  <si>
    <t>selint</t>
  </si>
  <si>
    <t>Number of traits</t>
  </si>
  <si>
    <t>Ind Accurac</t>
  </si>
  <si>
    <t xml:space="preserve">prop of all selected </t>
  </si>
  <si>
    <t>numbers per trait are genetic chnages per unit of SD, in the mean they are weighted 9and multiplied) by selection intensity</t>
  </si>
  <si>
    <t>dG/yr</t>
  </si>
  <si>
    <t>Average</t>
  </si>
  <si>
    <t>GenInterv</t>
  </si>
  <si>
    <t>Control Centre</t>
  </si>
  <si>
    <t>INDEX USED</t>
  </si>
  <si>
    <t>TRAIT RECORDING</t>
  </si>
  <si>
    <t>INPUT</t>
  </si>
  <si>
    <t>RESULTS</t>
  </si>
  <si>
    <t>INDEX</t>
  </si>
  <si>
    <t>Earliest possible age of first drop males</t>
  </si>
  <si>
    <t xml:space="preserve">Earliest possible age of first drop females </t>
  </si>
  <si>
    <t>Max age class (years)</t>
  </si>
  <si>
    <t>DNA</t>
  </si>
  <si>
    <t>gen_interval males</t>
  </si>
  <si>
    <t>gen_interval females</t>
  </si>
  <si>
    <t>Difference</t>
  </si>
  <si>
    <t>economic values</t>
  </si>
  <si>
    <t>Females</t>
  </si>
  <si>
    <t>conf</t>
  </si>
  <si>
    <t>dress</t>
  </si>
  <si>
    <t>smy</t>
  </si>
  <si>
    <t>long</t>
  </si>
  <si>
    <t>awt</t>
  </si>
  <si>
    <t>ycfw</t>
  </si>
  <si>
    <t>acfw</t>
  </si>
  <si>
    <t>yfd</t>
  </si>
  <si>
    <t>afd</t>
  </si>
  <si>
    <t>ydcv</t>
  </si>
  <si>
    <t>adcv</t>
  </si>
  <si>
    <t>ysl</t>
  </si>
  <si>
    <t>asl</t>
  </si>
  <si>
    <t>yss</t>
  </si>
  <si>
    <t>ass</t>
  </si>
  <si>
    <t>pfec</t>
  </si>
  <si>
    <t>nlw</t>
  </si>
  <si>
    <t>bwt</t>
  </si>
  <si>
    <t>pwt</t>
  </si>
  <si>
    <t>ywt</t>
  </si>
  <si>
    <t>hwt</t>
  </si>
  <si>
    <t>pfat</t>
  </si>
  <si>
    <t>yfat</t>
  </si>
  <si>
    <t>pemd</t>
  </si>
  <si>
    <t>yemd</t>
  </si>
  <si>
    <t>ygfw</t>
  </si>
  <si>
    <t>agfw</t>
  </si>
  <si>
    <t>yfec</t>
  </si>
  <si>
    <t>Economic value</t>
  </si>
  <si>
    <t>%change</t>
  </si>
  <si>
    <t>$</t>
  </si>
  <si>
    <t>gestation length (years)</t>
  </si>
  <si>
    <t>parentage</t>
  </si>
  <si>
    <t>Nr sires used per year</t>
  </si>
  <si>
    <t xml:space="preserve">  age class 2 selected at 18 mo</t>
  </si>
  <si>
    <t>percent index emphasis females</t>
  </si>
  <si>
    <t>percent index emphasis males</t>
  </si>
  <si>
    <t xml:space="preserve">  EBV accuracies young males</t>
  </si>
  <si>
    <t xml:space="preserve">       EBV accuracies </t>
  </si>
  <si>
    <t>Genotyping</t>
  </si>
  <si>
    <t>Number of records</t>
  </si>
  <si>
    <t>own</t>
  </si>
  <si>
    <t>dam</t>
  </si>
  <si>
    <t>sire</t>
  </si>
  <si>
    <t>full sibs</t>
  </si>
  <si>
    <t>half sibs</t>
  </si>
  <si>
    <t>progeny</t>
  </si>
  <si>
    <t>trait abbrev need to correspond with       Genetic Parameters</t>
  </si>
  <si>
    <t>Genomic</t>
  </si>
  <si>
    <t>Reliability</t>
  </si>
  <si>
    <t>Measured</t>
  </si>
  <si>
    <t>ntraits</t>
  </si>
  <si>
    <t xml:space="preserve"> Genetic Covariance matrix as given (correlations below diagonal)    </t>
  </si>
  <si>
    <t xml:space="preserve"> Residual Covariance matrix as given (correlations below diagonal)    </t>
  </si>
  <si>
    <t>all</t>
  </si>
  <si>
    <t>Genotyp</t>
  </si>
  <si>
    <t xml:space="preserve">     Threshold</t>
  </si>
  <si>
    <t xml:space="preserve">        Mean of selected</t>
  </si>
  <si>
    <t>Superiotity</t>
  </si>
  <si>
    <t>of SDBreedObj</t>
  </si>
  <si>
    <t>of SDIndex</t>
  </si>
  <si>
    <t>age class</t>
  </si>
  <si>
    <t>Resp</t>
  </si>
  <si>
    <t>Male</t>
  </si>
  <si>
    <t>Female</t>
  </si>
  <si>
    <t>averaged of selected parents</t>
  </si>
  <si>
    <t>Index Accurcay</t>
  </si>
  <si>
    <t>FLOCK STRUCTURE</t>
  </si>
  <si>
    <t>Standard Deviation of Breeding Objective</t>
  </si>
  <si>
    <t>Age Structure</t>
  </si>
  <si>
    <t>age at</t>
  </si>
  <si>
    <t xml:space="preserve">total nr in  </t>
  </si>
  <si>
    <t>prog drop</t>
  </si>
  <si>
    <t>Average age of parents</t>
  </si>
  <si>
    <t>$Response/Year</t>
  </si>
  <si>
    <t>Age at</t>
  </si>
  <si>
    <t>Optimized Generation Interval       0/1</t>
  </si>
  <si>
    <t>trait</t>
  </si>
  <si>
    <t>Accuracy for</t>
  </si>
  <si>
    <t>MERINO</t>
  </si>
  <si>
    <t>Phenotypic variance-correlation matrix (first bunch is zero, these are objective traits</t>
  </si>
  <si>
    <t>DP3</t>
  </si>
  <si>
    <t>Breedng Objective SD</t>
  </si>
  <si>
    <t xml:space="preserve">              Genetic  Stand. Deviation</t>
  </si>
  <si>
    <t>Males</t>
  </si>
  <si>
    <t>Use CONTROL CENTRE as your main sheet. It borrows genetic parameters and economic values from other sheets</t>
  </si>
  <si>
    <t>To calculate the gain for a given scenario, push the purple button in 9C-10E</t>
  </si>
  <si>
    <t>scenarios can be defined by flock structure, mating ratio, age at selection, etc.</t>
  </si>
  <si>
    <t>MTINDEX: Multi Trait Selection Index: works out optimal weights, accurcay of MTEBVs and selection response</t>
  </si>
  <si>
    <t>The program checks whether genetic parameters are consistent (positive definite correlation matrices)</t>
  </si>
  <si>
    <t>These buttons will uses a macro, so you need to allowExcel  usage of macros</t>
  </si>
  <si>
    <t>only list traits with an economic value</t>
  </si>
  <si>
    <t>The</t>
  </si>
  <si>
    <t>button allows you to graph the accurcaues for each age class</t>
  </si>
  <si>
    <t xml:space="preserve">for a certain trait or the index </t>
  </si>
  <si>
    <t>Cell F6 is a dropdown with trait names</t>
  </si>
  <si>
    <t xml:space="preserve">      Cell A20 is a dropdown with index names</t>
  </si>
  <si>
    <t>or</t>
  </si>
  <si>
    <t>After you change 1) which index is used  or 2) which traits you measure, you need to run the purple button</t>
  </si>
  <si>
    <t>(e.g. malesgenotyped only, males + females genotyped)</t>
  </si>
  <si>
    <t>but also by whether a trait is measured(males/females) or there is a GBV</t>
  </si>
  <si>
    <t xml:space="preserve">      This button will show result of one run</t>
  </si>
  <si>
    <t xml:space="preserve">     and compare them with the previous run</t>
  </si>
  <si>
    <t>This GENSEL spreadsheet combines:</t>
  </si>
  <si>
    <t xml:space="preserve">        This button will set up the index, and outputsinformation to the selection index sheet</t>
  </si>
  <si>
    <t>if used in year 1</t>
  </si>
  <si>
    <t>Abbreviation</t>
  </si>
  <si>
    <t>light blue tends to be a parameter input cell</t>
  </si>
  <si>
    <t xml:space="preserve">traits </t>
  </si>
  <si>
    <t xml:space="preserve">index contains            </t>
  </si>
  <si>
    <t>Economic</t>
  </si>
  <si>
    <t>Value</t>
  </si>
  <si>
    <t xml:space="preserve">Genomic </t>
  </si>
  <si>
    <t>reliability</t>
  </si>
  <si>
    <t xml:space="preserve"> in RefPop 0/1</t>
  </si>
  <si>
    <t>in time units</t>
  </si>
  <si>
    <t xml:space="preserve">Important information needs to be given about  </t>
  </si>
  <si>
    <r>
      <t xml:space="preserve">if you want to compare the </t>
    </r>
    <r>
      <rPr>
        <sz val="12"/>
        <rFont val="Arial"/>
        <family val="2"/>
      </rPr>
      <t>same scenario with and without genomic seection</t>
    </r>
  </si>
  <si>
    <t xml:space="preserve">it will take the genomic selection scenario as defined in cells 24 CD </t>
  </si>
  <si>
    <t xml:space="preserve">You can edit the indexes and  add your own index with economic values  </t>
  </si>
  <si>
    <t>The parameter matrix sheet  is hidden</t>
  </si>
  <si>
    <t>The economic values sheet is hidden</t>
  </si>
  <si>
    <t xml:space="preserve">You can look at these sheets by 'unhide' (right click on sheet tabs)  </t>
  </si>
  <si>
    <t xml:space="preserve">                     Response/Year</t>
  </si>
  <si>
    <t xml:space="preserve">                     in trait units</t>
  </si>
  <si>
    <t xml:space="preserve">            Response/year</t>
  </si>
  <si>
    <t xml:space="preserve">                 in $ Value</t>
  </si>
  <si>
    <t>Age</t>
  </si>
  <si>
    <t>class</t>
  </si>
  <si>
    <t xml:space="preserve">   Preset Age Structure</t>
  </si>
  <si>
    <t>Accurcay EBV</t>
  </si>
  <si>
    <t xml:space="preserve">TRAIT RECORDING             </t>
  </si>
  <si>
    <t>a trait will only be seen if there s a trait abbreviation (column B)</t>
  </si>
  <si>
    <t>genetic</t>
  </si>
  <si>
    <t>phenotypic</t>
  </si>
  <si>
    <t xml:space="preserve"> Genetic Covariance matrix  </t>
  </si>
  <si>
    <t xml:space="preserve">mortality rate </t>
  </si>
  <si>
    <t xml:space="preserve">               Nr Selected  (latest run)</t>
  </si>
  <si>
    <t>YES</t>
  </si>
  <si>
    <t>Merino Index Economic Values</t>
  </si>
  <si>
    <t xml:space="preserve">  POSITIVE DEFINITE </t>
  </si>
  <si>
    <t xml:space="preserve"> Genetic Covariance matrix POSITIVE DEFINITE </t>
  </si>
  <si>
    <t xml:space="preserve"> Residual Covariance matrix POSITIVE DEFINITE </t>
  </si>
  <si>
    <t>Trait 1</t>
  </si>
  <si>
    <t>Trait 2</t>
  </si>
  <si>
    <t>t1</t>
  </si>
  <si>
    <t>t2</t>
  </si>
  <si>
    <t>I1</t>
  </si>
  <si>
    <t>I2</t>
  </si>
  <si>
    <t>I3</t>
  </si>
  <si>
    <t>Genetic and phenotypic parameters are given as varinaces on diagonal and correlations on off diagonal, h2 in column F</t>
  </si>
  <si>
    <t>Previous Run</t>
  </si>
  <si>
    <t>Latest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</si>
</sst>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"/>
    <numFmt numFmtId="167" formatCode="0.0%"/>
    <numFmt numFmtId="168" formatCode="_([$$-409]* #,##0.00_);_([$$-409]* \(#,##0.00\);_([$$-409]* &quot;-&quot;??_);_(@_)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5"/>
      <name val="Arial"/>
      <family val="2"/>
    </font>
    <font>
      <sz val="11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41"/>
      <name val="Arial"/>
      <family val="2"/>
    </font>
    <font>
      <sz val="11"/>
      <color indexed="15"/>
      <name val="Arial"/>
      <family val="2"/>
    </font>
    <font>
      <b/>
      <sz val="11"/>
      <color indexed="15"/>
      <name val="Arial"/>
      <family val="2"/>
    </font>
    <font>
      <b/>
      <sz val="11"/>
      <color indexed="15"/>
      <name val="Arial"/>
      <family val="2"/>
    </font>
    <font>
      <sz val="11"/>
      <name val="Times New Roman"/>
      <family val="1"/>
    </font>
    <font>
      <sz val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1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name val="Arial"/>
      <family val="2"/>
    </font>
    <font>
      <sz val="12"/>
      <name val="Calibri"/>
      <family val="2"/>
      <scheme val="minor"/>
    </font>
    <font>
      <sz val="14"/>
      <name val="Arial"/>
      <family val="2"/>
    </font>
    <font>
      <sz val="20"/>
      <name val="Arial"/>
      <family val="2"/>
    </font>
    <font>
      <b/>
      <sz val="10"/>
      <color indexed="41"/>
      <name val="Arial"/>
      <family val="2"/>
    </font>
    <font>
      <b/>
      <sz val="11"/>
      <color indexed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0" borderId="0"/>
  </cellStyleXfs>
  <cellXfs count="458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7" fillId="2" borderId="0" xfId="0" applyFont="1" applyFill="1"/>
    <xf numFmtId="0" fontId="9" fillId="2" borderId="0" xfId="2" applyFill="1" applyAlignment="1" applyProtection="1"/>
    <xf numFmtId="2" fontId="0" fillId="2" borderId="0" xfId="0" applyNumberForma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0" fillId="2" borderId="0" xfId="0" applyFont="1" applyFill="1" applyBorder="1" applyAlignment="1" applyProtection="1">
      <alignment horizontal="center"/>
    </xf>
    <xf numFmtId="0" fontId="0" fillId="2" borderId="0" xfId="0" applyFill="1" applyProtection="1"/>
    <xf numFmtId="2" fontId="0" fillId="2" borderId="0" xfId="0" applyNumberFormat="1" applyFill="1" applyAlignment="1" applyProtection="1">
      <alignment horizontal="center"/>
    </xf>
    <xf numFmtId="0" fontId="0" fillId="0" borderId="0" xfId="0" applyFill="1"/>
    <xf numFmtId="0" fontId="0" fillId="2" borderId="1" xfId="0" applyFill="1" applyBorder="1" applyAlignment="1" applyProtection="1">
      <alignment horizontal="center"/>
      <protection locked="0"/>
    </xf>
    <xf numFmtId="0" fontId="5" fillId="3" borderId="3" xfId="0" applyFont="1" applyFill="1" applyBorder="1" applyProtection="1"/>
    <xf numFmtId="0" fontId="0" fillId="0" borderId="3" xfId="0" applyBorder="1" applyAlignment="1" applyProtection="1">
      <alignment horizontal="center"/>
    </xf>
    <xf numFmtId="0" fontId="12" fillId="3" borderId="4" xfId="0" applyFont="1" applyFill="1" applyBorder="1" applyAlignment="1" applyProtection="1">
      <alignment horizontal="center"/>
      <protection locked="0"/>
    </xf>
    <xf numFmtId="0" fontId="12" fillId="4" borderId="5" xfId="0" applyFont="1" applyFill="1" applyBorder="1" applyProtection="1"/>
    <xf numFmtId="0" fontId="12" fillId="4" borderId="6" xfId="0" applyFont="1" applyFill="1" applyBorder="1" applyProtection="1"/>
    <xf numFmtId="0" fontId="13" fillId="3" borderId="2" xfId="0" applyFont="1" applyFill="1" applyBorder="1" applyAlignment="1" applyProtection="1">
      <alignment horizontal="center"/>
    </xf>
    <xf numFmtId="0" fontId="14" fillId="4" borderId="7" xfId="0" applyFont="1" applyFill="1" applyBorder="1" applyAlignment="1" applyProtection="1">
      <alignment horizontal="center"/>
    </xf>
    <xf numFmtId="0" fontId="5" fillId="4" borderId="8" xfId="0" applyFont="1" applyFill="1" applyBorder="1" applyProtection="1"/>
    <xf numFmtId="0" fontId="5" fillId="4" borderId="9" xfId="0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/>
      <protection locked="0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 applyProtection="1">
      <alignment horizontal="center"/>
      <protection locked="0"/>
    </xf>
    <xf numFmtId="0" fontId="5" fillId="3" borderId="12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6" fillId="3" borderId="8" xfId="0" applyFont="1" applyFill="1" applyBorder="1" applyProtection="1"/>
    <xf numFmtId="0" fontId="6" fillId="4" borderId="13" xfId="0" applyFont="1" applyFill="1" applyBorder="1" applyAlignment="1" applyProtection="1">
      <alignment horizontal="left"/>
    </xf>
    <xf numFmtId="0" fontId="2" fillId="4" borderId="14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12" fillId="4" borderId="8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2" xfId="0" applyFont="1" applyFill="1" applyBorder="1" applyAlignment="1" applyProtection="1">
      <alignment horizontal="center"/>
      <protection locked="0"/>
    </xf>
    <xf numFmtId="2" fontId="5" fillId="6" borderId="11" xfId="0" applyNumberFormat="1" applyFont="1" applyFill="1" applyBorder="1" applyAlignment="1" applyProtection="1">
      <alignment horizontal="center"/>
    </xf>
    <xf numFmtId="2" fontId="5" fillId="6" borderId="1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Alignment="1" applyProtection="1">
      <alignment horizontal="center"/>
      <protection locked="0"/>
    </xf>
    <xf numFmtId="0" fontId="12" fillId="4" borderId="12" xfId="0" applyFont="1" applyFill="1" applyBorder="1" applyProtection="1"/>
    <xf numFmtId="0" fontId="12" fillId="4" borderId="2" xfId="0" applyFont="1" applyFill="1" applyBorder="1" applyAlignment="1" applyProtection="1">
      <alignment horizontal="center"/>
    </xf>
    <xf numFmtId="0" fontId="5" fillId="4" borderId="11" xfId="0" applyFont="1" applyFill="1" applyBorder="1" applyAlignment="1" applyProtection="1">
      <alignment horizontal="left"/>
    </xf>
    <xf numFmtId="0" fontId="5" fillId="4" borderId="10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6" fillId="7" borderId="14" xfId="0" applyFont="1" applyFill="1" applyBorder="1" applyAlignment="1" applyProtection="1">
      <alignment horizontal="center"/>
    </xf>
    <xf numFmtId="0" fontId="12" fillId="7" borderId="14" xfId="0" applyFont="1" applyFill="1" applyBorder="1" applyAlignment="1" applyProtection="1">
      <alignment horizontal="center"/>
    </xf>
    <xf numFmtId="0" fontId="16" fillId="4" borderId="3" xfId="0" applyFont="1" applyFill="1" applyBorder="1" applyAlignment="1" applyProtection="1">
      <alignment horizontal="center"/>
    </xf>
    <xf numFmtId="0" fontId="17" fillId="4" borderId="12" xfId="0" applyFont="1" applyFill="1" applyBorder="1" applyAlignment="1" applyProtection="1">
      <alignment horizontal="center"/>
    </xf>
    <xf numFmtId="0" fontId="17" fillId="4" borderId="1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  <protection locked="0"/>
    </xf>
    <xf numFmtId="2" fontId="10" fillId="2" borderId="0" xfId="0" applyNumberFormat="1" applyFont="1" applyFill="1" applyBorder="1" applyAlignment="1" applyProtection="1">
      <alignment horizontal="center"/>
    </xf>
    <xf numFmtId="166" fontId="10" fillId="2" borderId="0" xfId="0" applyNumberFormat="1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left"/>
      <protection locked="0"/>
    </xf>
    <xf numFmtId="0" fontId="12" fillId="4" borderId="11" xfId="0" applyFont="1" applyFill="1" applyBorder="1" applyAlignment="1" applyProtection="1">
      <alignment horizontal="center"/>
    </xf>
    <xf numFmtId="0" fontId="5" fillId="4" borderId="11" xfId="0" applyFont="1" applyFill="1" applyBorder="1" applyProtection="1"/>
    <xf numFmtId="2" fontId="12" fillId="3" borderId="11" xfId="0" applyNumberFormat="1" applyFont="1" applyFill="1" applyBorder="1" applyAlignment="1" applyProtection="1">
      <alignment horizontal="center"/>
      <protection locked="0"/>
    </xf>
    <xf numFmtId="2" fontId="5" fillId="3" borderId="3" xfId="0" applyNumberFormat="1" applyFont="1" applyFill="1" applyBorder="1" applyAlignment="1" applyProtection="1">
      <alignment horizontal="center"/>
      <protection locked="0"/>
    </xf>
    <xf numFmtId="2" fontId="5" fillId="3" borderId="11" xfId="0" applyNumberFormat="1" applyFont="1" applyFill="1" applyBorder="1" applyAlignment="1" applyProtection="1">
      <alignment horizontal="center"/>
      <protection locked="0"/>
    </xf>
    <xf numFmtId="2" fontId="5" fillId="3" borderId="0" xfId="0" applyNumberFormat="1" applyFont="1" applyFill="1" applyBorder="1" applyAlignment="1" applyProtection="1">
      <alignment horizontal="center"/>
      <protection locked="0"/>
    </xf>
    <xf numFmtId="2" fontId="12" fillId="3" borderId="0" xfId="0" applyNumberFormat="1" applyFont="1" applyFill="1" applyBorder="1" applyAlignment="1" applyProtection="1">
      <alignment horizontal="center"/>
      <protection locked="0"/>
    </xf>
    <xf numFmtId="2" fontId="12" fillId="3" borderId="12" xfId="0" applyNumberFormat="1" applyFont="1" applyFill="1" applyBorder="1" applyAlignment="1" applyProtection="1">
      <alignment horizontal="center"/>
      <protection locked="0"/>
    </xf>
    <xf numFmtId="2" fontId="12" fillId="3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0" fillId="4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2" fontId="12" fillId="3" borderId="10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2" fontId="5" fillId="3" borderId="0" xfId="0" applyNumberFormat="1" applyFont="1" applyFill="1" applyAlignment="1">
      <alignment horizontal="center"/>
    </xf>
    <xf numFmtId="2" fontId="5" fillId="3" borderId="0" xfId="0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6" fillId="4" borderId="7" xfId="0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left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1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166" fontId="0" fillId="6" borderId="1" xfId="0" applyNumberFormat="1" applyFill="1" applyBorder="1" applyAlignment="1">
      <alignment horizontal="center"/>
    </xf>
    <xf numFmtId="2" fontId="0" fillId="6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0" fillId="9" borderId="1" xfId="0" applyFill="1" applyBorder="1"/>
    <xf numFmtId="0" fontId="0" fillId="9" borderId="2" xfId="0" applyFill="1" applyBorder="1"/>
    <xf numFmtId="0" fontId="0" fillId="9" borderId="0" xfId="0" applyFill="1"/>
    <xf numFmtId="164" fontId="0" fillId="4" borderId="0" xfId="0" applyNumberFormat="1" applyFill="1" applyAlignment="1">
      <alignment horizontal="center"/>
    </xf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0" fillId="2" borderId="11" xfId="0" applyFill="1" applyBorder="1"/>
    <xf numFmtId="0" fontId="4" fillId="2" borderId="0" xfId="0" applyFont="1" applyFill="1" applyBorder="1"/>
    <xf numFmtId="2" fontId="11" fillId="4" borderId="12" xfId="0" applyNumberFormat="1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4" fillId="7" borderId="9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2" fontId="5" fillId="3" borderId="11" xfId="0" applyNumberFormat="1" applyFon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0" fontId="1" fillId="0" borderId="0" xfId="0" applyFont="1"/>
    <xf numFmtId="0" fontId="5" fillId="4" borderId="1" xfId="0" applyFont="1" applyFill="1" applyBorder="1" applyProtection="1"/>
    <xf numFmtId="0" fontId="24" fillId="8" borderId="12" xfId="0" applyFont="1" applyFill="1" applyBorder="1" applyAlignment="1" applyProtection="1">
      <alignment horizontal="right"/>
    </xf>
    <xf numFmtId="0" fontId="7" fillId="10" borderId="16" xfId="0" applyFont="1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0" xfId="0" applyFill="1"/>
    <xf numFmtId="0" fontId="24" fillId="2" borderId="19" xfId="0" applyFont="1" applyFill="1" applyBorder="1" applyAlignment="1">
      <alignment horizontal="center"/>
    </xf>
    <xf numFmtId="0" fontId="1" fillId="2" borderId="0" xfId="0" applyFont="1" applyFill="1"/>
    <xf numFmtId="2" fontId="0" fillId="0" borderId="1" xfId="0" applyNumberFormat="1" applyBorder="1"/>
    <xf numFmtId="0" fontId="26" fillId="9" borderId="0" xfId="0" applyFont="1" applyFill="1" applyAlignment="1">
      <alignment horizontal="left"/>
    </xf>
    <xf numFmtId="0" fontId="26" fillId="9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0" fillId="11" borderId="0" xfId="0" applyFill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2" fontId="5" fillId="6" borderId="12" xfId="0" applyNumberFormat="1" applyFont="1" applyFill="1" applyBorder="1" applyAlignment="1" applyProtection="1">
      <alignment horizontal="center"/>
    </xf>
    <xf numFmtId="2" fontId="5" fillId="6" borderId="2" xfId="0" applyNumberFormat="1" applyFont="1" applyFill="1" applyBorder="1" applyAlignment="1" applyProtection="1">
      <alignment horizontal="center"/>
    </xf>
    <xf numFmtId="2" fontId="5" fillId="6" borderId="0" xfId="0" applyNumberFormat="1" applyFont="1" applyFill="1" applyBorder="1" applyAlignment="1" applyProtection="1">
      <alignment horizontal="center"/>
    </xf>
    <xf numFmtId="0" fontId="0" fillId="3" borderId="10" xfId="0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17" fillId="4" borderId="0" xfId="0" applyFont="1" applyFill="1" applyBorder="1" applyAlignment="1" applyProtection="1">
      <alignment horizontal="center"/>
    </xf>
    <xf numFmtId="2" fontId="5" fillId="3" borderId="3" xfId="0" applyNumberFormat="1" applyFont="1" applyFill="1" applyBorder="1" applyAlignment="1">
      <alignment horizontal="center"/>
    </xf>
    <xf numFmtId="2" fontId="5" fillId="3" borderId="1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0" fillId="11" borderId="0" xfId="0" applyFill="1"/>
    <xf numFmtId="0" fontId="0" fillId="0" borderId="0" xfId="0" applyFill="1" applyAlignment="1">
      <alignment horizontal="center"/>
    </xf>
    <xf numFmtId="0" fontId="0" fillId="0" borderId="11" xfId="0" applyBorder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 applyAlignment="1">
      <alignment horizontal="center"/>
    </xf>
    <xf numFmtId="0" fontId="26" fillId="13" borderId="0" xfId="0" applyFont="1" applyFill="1" applyAlignment="1">
      <alignment horizontal="center"/>
    </xf>
    <xf numFmtId="0" fontId="0" fillId="14" borderId="0" xfId="0" applyFill="1"/>
    <xf numFmtId="0" fontId="0" fillId="15" borderId="0" xfId="0" applyFill="1" applyAlignment="1">
      <alignment horizontal="center"/>
    </xf>
    <xf numFmtId="0" fontId="0" fillId="14" borderId="3" xfId="0" applyFill="1" applyBorder="1" applyAlignment="1">
      <alignment horizontal="center"/>
    </xf>
    <xf numFmtId="0" fontId="1" fillId="9" borderId="0" xfId="0" applyFont="1" applyFill="1" applyAlignment="1">
      <alignment horizontal="left"/>
    </xf>
    <xf numFmtId="0" fontId="0" fillId="15" borderId="0" xfId="0" applyFill="1"/>
    <xf numFmtId="0" fontId="0" fillId="0" borderId="0" xfId="0"/>
    <xf numFmtId="0" fontId="29" fillId="0" borderId="0" xfId="0" applyFont="1"/>
    <xf numFmtId="0" fontId="0" fillId="0" borderId="0" xfId="0"/>
    <xf numFmtId="0" fontId="0" fillId="16" borderId="0" xfId="0" applyFill="1"/>
    <xf numFmtId="0" fontId="0" fillId="16" borderId="0" xfId="0" applyFont="1" applyFill="1" applyAlignment="1">
      <alignment horizontal="center"/>
    </xf>
    <xf numFmtId="0" fontId="24" fillId="15" borderId="0" xfId="0" applyFont="1" applyFill="1" applyAlignment="1">
      <alignment horizontal="center"/>
    </xf>
    <xf numFmtId="0" fontId="30" fillId="8" borderId="0" xfId="0" applyFont="1" applyFill="1"/>
    <xf numFmtId="0" fontId="30" fillId="15" borderId="0" xfId="0" applyFon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30" fillId="8" borderId="0" xfId="0" applyFont="1" applyFill="1" applyAlignment="1">
      <alignment horizontal="left"/>
    </xf>
    <xf numFmtId="0" fontId="32" fillId="17" borderId="0" xfId="0" applyFont="1" applyFill="1"/>
    <xf numFmtId="0" fontId="0" fillId="17" borderId="0" xfId="0" applyFill="1"/>
    <xf numFmtId="9" fontId="30" fillId="15" borderId="0" xfId="3" applyFont="1" applyFill="1" applyAlignment="1">
      <alignment horizontal="center"/>
    </xf>
    <xf numFmtId="0" fontId="1" fillId="8" borderId="0" xfId="0" applyFont="1" applyFill="1"/>
    <xf numFmtId="0" fontId="0" fillId="0" borderId="11" xfId="0" applyBorder="1" applyAlignment="1">
      <alignment horizontal="center"/>
    </xf>
    <xf numFmtId="0" fontId="0" fillId="12" borderId="0" xfId="0" applyFill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0" borderId="0" xfId="0"/>
    <xf numFmtId="0" fontId="0" fillId="11" borderId="11" xfId="0" applyFill="1" applyBorder="1"/>
    <xf numFmtId="0" fontId="1" fillId="11" borderId="0" xfId="0" applyFont="1" applyFill="1"/>
    <xf numFmtId="0" fontId="0" fillId="11" borderId="11" xfId="0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2" fontId="0" fillId="19" borderId="0" xfId="0" applyNumberFormat="1" applyFill="1" applyBorder="1" applyAlignment="1">
      <alignment horizontal="center"/>
    </xf>
    <xf numFmtId="2" fontId="0" fillId="19" borderId="0" xfId="0" applyNumberFormat="1" applyFill="1" applyAlignment="1">
      <alignment horizontal="center"/>
    </xf>
    <xf numFmtId="0" fontId="0" fillId="19" borderId="1" xfId="0" applyFill="1" applyBorder="1"/>
    <xf numFmtId="2" fontId="0" fillId="19" borderId="1" xfId="0" applyNumberFormat="1" applyFill="1" applyBorder="1" applyAlignment="1">
      <alignment horizontal="center"/>
    </xf>
    <xf numFmtId="9" fontId="0" fillId="15" borderId="0" xfId="3" applyFont="1" applyFill="1" applyAlignment="1">
      <alignment horizontal="center"/>
    </xf>
    <xf numFmtId="166" fontId="30" fillId="8" borderId="0" xfId="0" applyNumberFormat="1" applyFont="1" applyFill="1" applyAlignment="1">
      <alignment horizontal="center"/>
    </xf>
    <xf numFmtId="1" fontId="30" fillId="8" borderId="0" xfId="0" applyNumberFormat="1" applyFont="1" applyFill="1" applyAlignment="1">
      <alignment horizontal="center"/>
    </xf>
    <xf numFmtId="0" fontId="0" fillId="0" borderId="1" xfId="0" applyBorder="1"/>
    <xf numFmtId="0" fontId="5" fillId="11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>
      <alignment horizontal="center"/>
    </xf>
    <xf numFmtId="0" fontId="4" fillId="7" borderId="11" xfId="0" applyFont="1" applyFill="1" applyBorder="1"/>
    <xf numFmtId="0" fontId="33" fillId="7" borderId="0" xfId="0" applyFont="1" applyFill="1"/>
    <xf numFmtId="0" fontId="0" fillId="7" borderId="0" xfId="0" applyFill="1"/>
    <xf numFmtId="0" fontId="4" fillId="7" borderId="0" xfId="0" applyFont="1" applyFill="1"/>
    <xf numFmtId="0" fontId="0" fillId="4" borderId="1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31" fillId="0" borderId="0" xfId="0" applyFont="1"/>
    <xf numFmtId="0" fontId="31" fillId="15" borderId="0" xfId="0" applyFont="1" applyFill="1"/>
    <xf numFmtId="0" fontId="1" fillId="15" borderId="0" xfId="0" applyFont="1" applyFill="1"/>
    <xf numFmtId="0" fontId="1" fillId="0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 wrapText="1"/>
    </xf>
    <xf numFmtId="165" fontId="0" fillId="15" borderId="0" xfId="0" applyNumberFormat="1" applyFill="1" applyAlignment="1">
      <alignment horizontal="center"/>
    </xf>
    <xf numFmtId="0" fontId="0" fillId="15" borderId="11" xfId="0" applyFill="1" applyBorder="1"/>
    <xf numFmtId="0" fontId="1" fillId="11" borderId="11" xfId="0" applyFont="1" applyFill="1" applyBorder="1"/>
    <xf numFmtId="0" fontId="0" fillId="15" borderId="11" xfId="0" applyFill="1" applyBorder="1" applyAlignment="1">
      <alignment horizontal="center"/>
    </xf>
    <xf numFmtId="2" fontId="5" fillId="3" borderId="8" xfId="0" applyNumberFormat="1" applyFont="1" applyFill="1" applyBorder="1" applyAlignment="1">
      <alignment horizontal="center"/>
    </xf>
    <xf numFmtId="0" fontId="1" fillId="2" borderId="0" xfId="0" applyFont="1" applyFill="1" applyProtection="1">
      <protection locked="0"/>
    </xf>
    <xf numFmtId="0" fontId="12" fillId="4" borderId="7" xfId="0" applyFont="1" applyFill="1" applyBorder="1" applyAlignment="1" applyProtection="1">
      <alignment horizontal="center"/>
    </xf>
    <xf numFmtId="1" fontId="1" fillId="2" borderId="0" xfId="0" applyNumberFormat="1" applyFont="1" applyFill="1" applyAlignment="1" applyProtection="1">
      <alignment horizontal="left"/>
      <protection locked="0"/>
    </xf>
    <xf numFmtId="0" fontId="1" fillId="9" borderId="3" xfId="0" applyFont="1" applyFill="1" applyBorder="1"/>
    <xf numFmtId="0" fontId="1" fillId="4" borderId="2" xfId="0" applyFont="1" applyFill="1" applyBorder="1" applyAlignment="1">
      <alignment horizontal="center"/>
    </xf>
    <xf numFmtId="9" fontId="0" fillId="4" borderId="0" xfId="3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Border="1" applyAlignment="1">
      <alignment horizontal="center"/>
    </xf>
    <xf numFmtId="165" fontId="0" fillId="11" borderId="0" xfId="0" applyNumberFormat="1" applyFill="1" applyAlignment="1">
      <alignment horizontal="center"/>
    </xf>
    <xf numFmtId="165" fontId="0" fillId="11" borderId="0" xfId="0" applyNumberFormat="1" applyFill="1" applyBorder="1" applyAlignment="1">
      <alignment horizontal="center"/>
    </xf>
    <xf numFmtId="2" fontId="5" fillId="3" borderId="12" xfId="0" applyNumberFormat="1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Fill="1"/>
    <xf numFmtId="2" fontId="0" fillId="2" borderId="0" xfId="0" applyNumberFormat="1" applyFill="1"/>
    <xf numFmtId="0" fontId="1" fillId="0" borderId="0" xfId="0" applyFont="1" applyFill="1" applyAlignment="1">
      <alignment horizontal="right"/>
    </xf>
    <xf numFmtId="0" fontId="1" fillId="0" borderId="0" xfId="0" applyFont="1" applyFill="1"/>
    <xf numFmtId="0" fontId="24" fillId="18" borderId="3" xfId="0" applyFont="1" applyFill="1" applyBorder="1"/>
    <xf numFmtId="0" fontId="2" fillId="18" borderId="3" xfId="0" applyFont="1" applyFill="1" applyBorder="1" applyAlignment="1">
      <alignment horizontal="left"/>
    </xf>
    <xf numFmtId="0" fontId="2" fillId="18" borderId="9" xfId="0" applyFont="1" applyFill="1" applyBorder="1" applyAlignment="1">
      <alignment horizontal="left"/>
    </xf>
    <xf numFmtId="0" fontId="29" fillId="18" borderId="8" xfId="0" applyFont="1" applyFill="1" applyBorder="1"/>
    <xf numFmtId="0" fontId="1" fillId="20" borderId="13" xfId="0" applyFont="1" applyFill="1" applyBorder="1"/>
    <xf numFmtId="0" fontId="0" fillId="20" borderId="7" xfId="0" applyFill="1" applyBorder="1"/>
    <xf numFmtId="2" fontId="24" fillId="19" borderId="0" xfId="0" applyNumberFormat="1" applyFont="1" applyFill="1" applyBorder="1" applyAlignment="1">
      <alignment horizontal="center"/>
    </xf>
    <xf numFmtId="167" fontId="0" fillId="19" borderId="10" xfId="3" applyNumberFormat="1" applyFont="1" applyFill="1" applyBorder="1" applyAlignment="1">
      <alignment horizontal="center"/>
    </xf>
    <xf numFmtId="2" fontId="24" fillId="19" borderId="1" xfId="0" applyNumberFormat="1" applyFont="1" applyFill="1" applyBorder="1" applyAlignment="1">
      <alignment horizontal="center"/>
    </xf>
    <xf numFmtId="167" fontId="0" fillId="19" borderId="2" xfId="3" applyNumberFormat="1" applyFont="1" applyFill="1" applyBorder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left"/>
    </xf>
    <xf numFmtId="0" fontId="5" fillId="18" borderId="13" xfId="0" applyFont="1" applyFill="1" applyBorder="1"/>
    <xf numFmtId="0" fontId="5" fillId="18" borderId="14" xfId="0" applyFont="1" applyFill="1" applyBorder="1"/>
    <xf numFmtId="0" fontId="0" fillId="18" borderId="11" xfId="0" applyFill="1" applyBorder="1" applyAlignment="1">
      <alignment horizontal="center"/>
    </xf>
    <xf numFmtId="1" fontId="0" fillId="18" borderId="0" xfId="0" applyNumberFormat="1" applyFill="1" applyBorder="1" applyAlignment="1">
      <alignment horizontal="center"/>
    </xf>
    <xf numFmtId="2" fontId="0" fillId="18" borderId="0" xfId="0" applyNumberFormat="1" applyFill="1" applyBorder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10" xfId="0" applyNumberFormat="1" applyFill="1" applyBorder="1" applyAlignment="1">
      <alignment horizontal="center"/>
    </xf>
    <xf numFmtId="0" fontId="0" fillId="18" borderId="12" xfId="0" applyFill="1" applyBorder="1" applyAlignment="1">
      <alignment horizontal="center"/>
    </xf>
    <xf numFmtId="0" fontId="1" fillId="18" borderId="8" xfId="0" applyFont="1" applyFill="1" applyBorder="1" applyAlignment="1">
      <alignment horizontal="center"/>
    </xf>
    <xf numFmtId="0" fontId="1" fillId="18" borderId="12" xfId="0" applyFont="1" applyFill="1" applyBorder="1" applyAlignment="1">
      <alignment horizontal="center"/>
    </xf>
    <xf numFmtId="0" fontId="0" fillId="18" borderId="14" xfId="0" applyFill="1" applyBorder="1" applyAlignment="1">
      <alignment horizontal="center"/>
    </xf>
    <xf numFmtId="0" fontId="0" fillId="18" borderId="7" xfId="0" applyFill="1" applyBorder="1" applyAlignment="1">
      <alignment horizontal="center"/>
    </xf>
    <xf numFmtId="0" fontId="1" fillId="18" borderId="1" xfId="0" applyFont="1" applyFill="1" applyBorder="1" applyAlignment="1">
      <alignment horizontal="right"/>
    </xf>
    <xf numFmtId="0" fontId="0" fillId="18" borderId="13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1" fillId="18" borderId="3" xfId="0" applyFont="1" applyFill="1" applyBorder="1" applyAlignment="1">
      <alignment horizontal="right"/>
    </xf>
    <xf numFmtId="1" fontId="0" fillId="19" borderId="3" xfId="0" applyNumberFormat="1" applyFill="1" applyBorder="1" applyAlignment="1">
      <alignment horizontal="center"/>
    </xf>
    <xf numFmtId="0" fontId="1" fillId="18" borderId="11" xfId="0" applyFont="1" applyFill="1" applyBorder="1"/>
    <xf numFmtId="0" fontId="5" fillId="18" borderId="0" xfId="0" applyFont="1" applyFill="1" applyBorder="1" applyAlignment="1">
      <alignment horizontal="right"/>
    </xf>
    <xf numFmtId="0" fontId="1" fillId="18" borderId="12" xfId="0" applyFont="1" applyFill="1" applyBorder="1"/>
    <xf numFmtId="0" fontId="5" fillId="18" borderId="1" xfId="0" applyFont="1" applyFill="1" applyBorder="1" applyAlignment="1">
      <alignment horizontal="right"/>
    </xf>
    <xf numFmtId="0" fontId="1" fillId="18" borderId="0" xfId="0" applyFont="1" applyFill="1" applyBorder="1" applyAlignment="1">
      <alignment horizontal="left"/>
    </xf>
    <xf numFmtId="2" fontId="0" fillId="19" borderId="2" xfId="0" applyNumberFormat="1" applyFill="1" applyBorder="1" applyAlignment="1">
      <alignment horizontal="center"/>
    </xf>
    <xf numFmtId="165" fontId="0" fillId="19" borderId="11" xfId="0" applyNumberFormat="1" applyFill="1" applyBorder="1" applyAlignment="1">
      <alignment horizontal="center"/>
    </xf>
    <xf numFmtId="165" fontId="0" fillId="19" borderId="10" xfId="0" applyNumberFormat="1" applyFill="1" applyBorder="1" applyAlignment="1">
      <alignment horizontal="center"/>
    </xf>
    <xf numFmtId="0" fontId="0" fillId="2" borderId="1" xfId="0" applyFill="1" applyBorder="1" applyAlignment="1" applyProtection="1">
      <alignment horizontal="center"/>
    </xf>
    <xf numFmtId="0" fontId="1" fillId="4" borderId="0" xfId="0" applyFont="1" applyFill="1" applyBorder="1" applyAlignment="1">
      <alignment wrapText="1"/>
    </xf>
    <xf numFmtId="0" fontId="5" fillId="5" borderId="0" xfId="0" applyFont="1" applyFill="1" applyBorder="1" applyAlignment="1" applyProtection="1">
      <alignment horizontal="left" wrapText="1"/>
    </xf>
    <xf numFmtId="0" fontId="5" fillId="5" borderId="0" xfId="0" applyFont="1" applyFill="1" applyBorder="1" applyAlignment="1" applyProtection="1">
      <alignment horizontal="center" wrapText="1"/>
    </xf>
    <xf numFmtId="2" fontId="1" fillId="5" borderId="1" xfId="0" applyNumberFormat="1" applyFont="1" applyFill="1" applyBorder="1" applyAlignment="1">
      <alignment horizontal="center"/>
    </xf>
    <xf numFmtId="2" fontId="24" fillId="5" borderId="0" xfId="0" applyNumberFormat="1" applyFont="1" applyFill="1" applyBorder="1" applyAlignment="1">
      <alignment horizontal="center"/>
    </xf>
    <xf numFmtId="0" fontId="0" fillId="0" borderId="1" xfId="0" applyBorder="1"/>
    <xf numFmtId="0" fontId="23" fillId="2" borderId="0" xfId="0" applyFont="1" applyFill="1"/>
    <xf numFmtId="0" fontId="34" fillId="2" borderId="0" xfId="0" applyFont="1" applyFill="1" applyAlignment="1">
      <alignment horizontal="center"/>
    </xf>
    <xf numFmtId="0" fontId="0" fillId="21" borderId="0" xfId="0" applyFill="1"/>
    <xf numFmtId="0" fontId="31" fillId="21" borderId="0" xfId="0" applyFont="1" applyFill="1" applyBorder="1" applyAlignment="1">
      <alignment horizontal="center"/>
    </xf>
    <xf numFmtId="0" fontId="31" fillId="21" borderId="0" xfId="0" applyFont="1" applyFill="1" applyBorder="1" applyAlignment="1">
      <alignment horizontal="left"/>
    </xf>
    <xf numFmtId="0" fontId="0" fillId="21" borderId="0" xfId="0" applyFill="1" applyBorder="1"/>
    <xf numFmtId="0" fontId="0" fillId="21" borderId="0" xfId="0" applyFill="1" applyBorder="1" applyAlignment="1">
      <alignment horizontal="center"/>
    </xf>
    <xf numFmtId="0" fontId="0" fillId="21" borderId="0" xfId="0" applyFill="1" applyAlignment="1">
      <alignment horizontal="center"/>
    </xf>
    <xf numFmtId="0" fontId="25" fillId="21" borderId="1" xfId="0" applyFont="1" applyFill="1" applyBorder="1" applyAlignment="1">
      <alignment horizontal="left"/>
    </xf>
    <xf numFmtId="0" fontId="0" fillId="21" borderId="1" xfId="0" applyFill="1" applyBorder="1" applyAlignment="1">
      <alignment horizontal="center"/>
    </xf>
    <xf numFmtId="0" fontId="0" fillId="21" borderId="1" xfId="0" applyFill="1" applyBorder="1"/>
    <xf numFmtId="0" fontId="18" fillId="21" borderId="0" xfId="0" applyFont="1" applyFill="1" applyBorder="1"/>
    <xf numFmtId="2" fontId="18" fillId="21" borderId="0" xfId="0" quotePrefix="1" applyNumberFormat="1" applyFont="1" applyFill="1" applyBorder="1" applyAlignment="1">
      <alignment horizontal="center"/>
    </xf>
    <xf numFmtId="2" fontId="18" fillId="21" borderId="0" xfId="0" applyNumberFormat="1" applyFont="1" applyFill="1" applyBorder="1" applyAlignment="1">
      <alignment horizontal="center"/>
    </xf>
    <xf numFmtId="0" fontId="18" fillId="21" borderId="0" xfId="0" applyNumberFormat="1" applyFont="1" applyFill="1" applyBorder="1" applyAlignment="1">
      <alignment horizontal="center"/>
    </xf>
    <xf numFmtId="1" fontId="18" fillId="21" borderId="0" xfId="0" applyNumberFormat="1" applyFont="1" applyFill="1" applyBorder="1" applyAlignment="1">
      <alignment horizontal="center"/>
    </xf>
    <xf numFmtId="0" fontId="1" fillId="21" borderId="0" xfId="0" applyFont="1" applyFill="1" applyBorder="1"/>
    <xf numFmtId="1" fontId="18" fillId="21" borderId="0" xfId="0" quotePrefix="1" applyNumberFormat="1" applyFont="1" applyFill="1" applyBorder="1" applyAlignment="1">
      <alignment horizontal="center"/>
    </xf>
    <xf numFmtId="0" fontId="1" fillId="21" borderId="0" xfId="0" applyFont="1" applyFill="1" applyBorder="1" applyAlignment="1">
      <alignment horizontal="center"/>
    </xf>
    <xf numFmtId="0" fontId="11" fillId="21" borderId="0" xfId="0" applyFont="1" applyFill="1" applyBorder="1"/>
    <xf numFmtId="0" fontId="1" fillId="21" borderId="0" xfId="0" applyNumberFormat="1" applyFont="1" applyFill="1" applyBorder="1" applyAlignment="1">
      <alignment horizontal="center"/>
    </xf>
    <xf numFmtId="2" fontId="1" fillId="21" borderId="0" xfId="0" applyNumberFormat="1" applyFont="1" applyFill="1" applyBorder="1" applyAlignment="1">
      <alignment horizontal="center"/>
    </xf>
    <xf numFmtId="2" fontId="1" fillId="21" borderId="0" xfId="0" quotePrefix="1" applyNumberFormat="1" applyFont="1" applyFill="1" applyBorder="1" applyAlignment="1">
      <alignment horizontal="center"/>
    </xf>
    <xf numFmtId="2" fontId="22" fillId="21" borderId="0" xfId="0" applyNumberFormat="1" applyFont="1" applyFill="1" applyBorder="1" applyAlignment="1">
      <alignment horizontal="center"/>
    </xf>
    <xf numFmtId="2" fontId="21" fillId="21" borderId="0" xfId="0" applyNumberFormat="1" applyFont="1" applyFill="1" applyBorder="1" applyAlignment="1">
      <alignment horizontal="center"/>
    </xf>
    <xf numFmtId="2" fontId="23" fillId="21" borderId="0" xfId="0" applyNumberFormat="1" applyFont="1" applyFill="1" applyBorder="1" applyAlignment="1">
      <alignment horizontal="center"/>
    </xf>
    <xf numFmtId="166" fontId="0" fillId="21" borderId="0" xfId="0" applyNumberFormat="1" applyFill="1" applyBorder="1" applyAlignment="1">
      <alignment horizontal="center"/>
    </xf>
    <xf numFmtId="2" fontId="0" fillId="21" borderId="0" xfId="0" applyNumberFormat="1" applyFill="1" applyBorder="1" applyAlignment="1">
      <alignment horizontal="center"/>
    </xf>
    <xf numFmtId="0" fontId="0" fillId="21" borderId="11" xfId="0" applyFill="1" applyBorder="1"/>
    <xf numFmtId="0" fontId="5" fillId="21" borderId="0" xfId="0" applyFont="1" applyFill="1" applyBorder="1" applyAlignment="1">
      <alignment horizontal="center"/>
    </xf>
    <xf numFmtId="0" fontId="5" fillId="21" borderId="0" xfId="0" applyFont="1" applyFill="1" applyBorder="1" applyAlignment="1" applyProtection="1">
      <alignment horizontal="center"/>
      <protection locked="0"/>
    </xf>
    <xf numFmtId="2" fontId="5" fillId="11" borderId="0" xfId="0" applyNumberFormat="1" applyFont="1" applyFill="1" applyBorder="1" applyAlignment="1" applyProtection="1">
      <alignment horizontal="center"/>
      <protection locked="0"/>
    </xf>
    <xf numFmtId="2" fontId="0" fillId="11" borderId="0" xfId="0" applyNumberForma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1" fillId="18" borderId="5" xfId="0" applyFont="1" applyFill="1" applyBorder="1" applyAlignment="1">
      <alignment horizontal="center"/>
    </xf>
    <xf numFmtId="0" fontId="7" fillId="2" borderId="8" xfId="0" applyFont="1" applyFill="1" applyBorder="1"/>
    <xf numFmtId="0" fontId="7" fillId="2" borderId="3" xfId="0" applyFont="1" applyFill="1" applyBorder="1"/>
    <xf numFmtId="0" fontId="0" fillId="2" borderId="3" xfId="0" applyFill="1" applyBorder="1"/>
    <xf numFmtId="0" fontId="1" fillId="2" borderId="3" xfId="0" applyFont="1" applyFill="1" applyBorder="1"/>
    <xf numFmtId="0" fontId="0" fillId="2" borderId="9" xfId="0" applyFill="1" applyBorder="1"/>
    <xf numFmtId="0" fontId="7" fillId="2" borderId="11" xfId="0" applyFont="1" applyFill="1" applyBorder="1"/>
    <xf numFmtId="0" fontId="1" fillId="2" borderId="0" xfId="0" applyFont="1" applyFill="1" applyBorder="1"/>
    <xf numFmtId="0" fontId="7" fillId="2" borderId="0" xfId="0" applyFont="1" applyFill="1" applyBorder="1"/>
    <xf numFmtId="0" fontId="1" fillId="2" borderId="10" xfId="0" applyFont="1" applyFill="1" applyBorder="1"/>
    <xf numFmtId="0" fontId="0" fillId="2" borderId="10" xfId="0" applyFill="1" applyBorder="1"/>
    <xf numFmtId="0" fontId="34" fillId="2" borderId="0" xfId="0" applyFont="1" applyFill="1" applyBorder="1" applyAlignment="1">
      <alignment horizontal="center"/>
    </xf>
    <xf numFmtId="0" fontId="0" fillId="21" borderId="12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0" fillId="2" borderId="2" xfId="0" applyFill="1" applyBorder="1"/>
    <xf numFmtId="0" fontId="0" fillId="2" borderId="12" xfId="0" applyFill="1" applyBorder="1"/>
    <xf numFmtId="0" fontId="1" fillId="2" borderId="12" xfId="0" applyFont="1" applyFill="1" applyBorder="1"/>
    <xf numFmtId="2" fontId="11" fillId="21" borderId="0" xfId="0" applyNumberFormat="1" applyFont="1" applyFill="1" applyBorder="1" applyAlignment="1">
      <alignment horizontal="center"/>
    </xf>
    <xf numFmtId="0" fontId="0" fillId="21" borderId="3" xfId="0" applyFill="1" applyBorder="1"/>
    <xf numFmtId="0" fontId="7" fillId="2" borderId="12" xfId="0" applyFont="1" applyFill="1" applyBorder="1"/>
    <xf numFmtId="0" fontId="7" fillId="2" borderId="1" xfId="0" applyFont="1" applyFill="1" applyBorder="1"/>
    <xf numFmtId="0" fontId="1" fillId="21" borderId="1" xfId="0" applyFont="1" applyFill="1" applyBorder="1"/>
    <xf numFmtId="2" fontId="11" fillId="21" borderId="1" xfId="0" applyNumberFormat="1" applyFont="1" applyFill="1" applyBorder="1" applyAlignment="1">
      <alignment horizontal="center"/>
    </xf>
    <xf numFmtId="0" fontId="0" fillId="21" borderId="2" xfId="0" applyFill="1" applyBorder="1"/>
    <xf numFmtId="0" fontId="7" fillId="11" borderId="1" xfId="0" applyFont="1" applyFill="1" applyBorder="1" applyAlignment="1" applyProtection="1">
      <alignment horizontal="center"/>
      <protection locked="0"/>
    </xf>
    <xf numFmtId="0" fontId="7" fillId="11" borderId="1" xfId="0" applyFont="1" applyFill="1" applyBorder="1" applyAlignment="1">
      <alignment horizontal="center"/>
    </xf>
    <xf numFmtId="0" fontId="31" fillId="21" borderId="0" xfId="0" applyFont="1" applyFill="1" applyAlignment="1">
      <alignment horizontal="center"/>
    </xf>
    <xf numFmtId="0" fontId="30" fillId="21" borderId="6" xfId="0" applyFont="1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9" fontId="30" fillId="21" borderId="15" xfId="3" applyFont="1" applyFill="1" applyBorder="1" applyAlignment="1">
      <alignment horizontal="center"/>
    </xf>
    <xf numFmtId="0" fontId="1" fillId="21" borderId="0" xfId="0" applyFont="1" applyFill="1" applyAlignment="1">
      <alignment horizontal="center"/>
    </xf>
    <xf numFmtId="9" fontId="0" fillId="21" borderId="0" xfId="3" applyFont="1" applyFill="1" applyAlignment="1">
      <alignment horizontal="center"/>
    </xf>
    <xf numFmtId="0" fontId="31" fillId="21" borderId="13" xfId="0" applyFont="1" applyFill="1" applyBorder="1"/>
    <xf numFmtId="0" fontId="0" fillId="21" borderId="14" xfId="0" applyFill="1" applyBorder="1"/>
    <xf numFmtId="0" fontId="1" fillId="21" borderId="14" xfId="0" applyFont="1" applyFill="1" applyBorder="1"/>
    <xf numFmtId="0" fontId="5" fillId="21" borderId="8" xfId="0" applyFont="1" applyFill="1" applyBorder="1" applyProtection="1"/>
    <xf numFmtId="0" fontId="0" fillId="21" borderId="3" xfId="0" applyFill="1" applyBorder="1" applyAlignment="1">
      <alignment horizontal="center"/>
    </xf>
    <xf numFmtId="0" fontId="1" fillId="21" borderId="4" xfId="0" applyFont="1" applyFill="1" applyBorder="1" applyAlignment="1">
      <alignment horizontal="center" wrapText="1"/>
    </xf>
    <xf numFmtId="0" fontId="18" fillId="21" borderId="0" xfId="0" applyFont="1" applyFill="1" applyBorder="1" applyAlignment="1">
      <alignment horizontal="center"/>
    </xf>
    <xf numFmtId="0" fontId="2" fillId="21" borderId="14" xfId="0" applyFont="1" applyFill="1" applyBorder="1" applyAlignment="1">
      <alignment horizontal="left"/>
    </xf>
    <xf numFmtId="0" fontId="1" fillId="21" borderId="14" xfId="0" applyFont="1" applyFill="1" applyBorder="1" applyAlignment="1">
      <alignment horizontal="center"/>
    </xf>
    <xf numFmtId="0" fontId="0" fillId="21" borderId="7" xfId="0" applyFill="1" applyBorder="1"/>
    <xf numFmtId="0" fontId="0" fillId="21" borderId="8" xfId="0" applyFill="1" applyBorder="1"/>
    <xf numFmtId="0" fontId="1" fillId="21" borderId="3" xfId="0" applyFont="1" applyFill="1" applyBorder="1"/>
    <xf numFmtId="0" fontId="5" fillId="21" borderId="11" xfId="0" applyFont="1" applyFill="1" applyBorder="1" applyProtection="1"/>
    <xf numFmtId="0" fontId="0" fillId="15" borderId="15" xfId="0" applyFill="1" applyBorder="1" applyAlignment="1">
      <alignment horizontal="center"/>
    </xf>
    <xf numFmtId="0" fontId="18" fillId="15" borderId="0" xfId="0" applyFont="1" applyFill="1"/>
    <xf numFmtId="0" fontId="0" fillId="15" borderId="1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0" xfId="0" applyFill="1" applyBorder="1"/>
    <xf numFmtId="164" fontId="0" fillId="15" borderId="10" xfId="0" applyNumberFormat="1" applyFill="1" applyBorder="1" applyAlignment="1">
      <alignment horizontal="center"/>
    </xf>
    <xf numFmtId="0" fontId="0" fillId="15" borderId="10" xfId="0" applyFill="1" applyBorder="1"/>
    <xf numFmtId="0" fontId="0" fillId="15" borderId="1" xfId="0" applyFill="1" applyBorder="1"/>
    <xf numFmtId="0" fontId="0" fillId="15" borderId="2" xfId="0" applyFill="1" applyBorder="1"/>
    <xf numFmtId="0" fontId="0" fillId="15" borderId="0" xfId="0" applyFont="1" applyFill="1" applyBorder="1" applyAlignment="1">
      <alignment horizontal="center"/>
    </xf>
    <xf numFmtId="0" fontId="1" fillId="15" borderId="0" xfId="0" applyFont="1" applyFill="1" applyBorder="1"/>
    <xf numFmtId="0" fontId="2" fillId="15" borderId="11" xfId="0" applyFont="1" applyFill="1" applyBorder="1"/>
    <xf numFmtId="0" fontId="1" fillId="15" borderId="11" xfId="0" applyFont="1" applyFill="1" applyBorder="1" applyAlignment="1">
      <alignment horizontal="center"/>
    </xf>
    <xf numFmtId="0" fontId="2" fillId="15" borderId="11" xfId="0" applyFont="1" applyFill="1" applyBorder="1" applyAlignment="1">
      <alignment horizontal="left"/>
    </xf>
    <xf numFmtId="0" fontId="1" fillId="15" borderId="11" xfId="0" applyFont="1" applyFill="1" applyBorder="1"/>
    <xf numFmtId="0" fontId="0" fillId="15" borderId="0" xfId="0" applyFont="1" applyFill="1" applyBorder="1"/>
    <xf numFmtId="0" fontId="0" fillId="21" borderId="9" xfId="0" applyFill="1" applyBorder="1"/>
    <xf numFmtId="0" fontId="1" fillId="15" borderId="12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21" borderId="0" xfId="0" applyFont="1" applyFill="1" applyBorder="1" applyAlignment="1">
      <alignment horizontal="center" wrapText="1"/>
    </xf>
    <xf numFmtId="0" fontId="1" fillId="21" borderId="10" xfId="0" applyFont="1" applyFill="1" applyBorder="1" applyAlignment="1">
      <alignment horizontal="center"/>
    </xf>
    <xf numFmtId="0" fontId="1" fillId="19" borderId="0" xfId="0" applyFont="1" applyFill="1" applyBorder="1" applyAlignment="1">
      <alignment horizontal="center"/>
    </xf>
    <xf numFmtId="0" fontId="0" fillId="19" borderId="3" xfId="0" applyFill="1" applyBorder="1"/>
    <xf numFmtId="0" fontId="1" fillId="19" borderId="3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left"/>
    </xf>
    <xf numFmtId="0" fontId="5" fillId="21" borderId="11" xfId="0" applyFont="1" applyFill="1" applyBorder="1" applyAlignment="1" applyProtection="1">
      <alignment horizontal="right"/>
    </xf>
    <xf numFmtId="0" fontId="2" fillId="21" borderId="14" xfId="0" applyFont="1" applyFill="1" applyBorder="1" applyAlignment="1">
      <alignment horizontal="right"/>
    </xf>
    <xf numFmtId="0" fontId="5" fillId="21" borderId="8" xfId="0" applyFont="1" applyFill="1" applyBorder="1" applyAlignment="1" applyProtection="1">
      <alignment horizontal="right"/>
    </xf>
    <xf numFmtId="0" fontId="1" fillId="21" borderId="3" xfId="0" applyFont="1" applyFill="1" applyBorder="1" applyAlignment="1">
      <alignment horizontal="center" wrapText="1"/>
    </xf>
    <xf numFmtId="0" fontId="1" fillId="21" borderId="9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right"/>
    </xf>
    <xf numFmtId="2" fontId="0" fillId="15" borderId="1" xfId="0" applyNumberFormat="1" applyFill="1" applyBorder="1" applyAlignment="1">
      <alignment horizontal="center"/>
    </xf>
    <xf numFmtId="164" fontId="0" fillId="15" borderId="2" xfId="0" applyNumberForma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0" fontId="1" fillId="0" borderId="1" xfId="0" applyFont="1" applyFill="1" applyBorder="1"/>
    <xf numFmtId="0" fontId="1" fillId="2" borderId="11" xfId="0" applyFont="1" applyFill="1" applyBorder="1"/>
    <xf numFmtId="0" fontId="1" fillId="18" borderId="8" xfId="0" applyFont="1" applyFill="1" applyBorder="1" applyAlignment="1">
      <alignment horizontal="right"/>
    </xf>
    <xf numFmtId="0" fontId="1" fillId="18" borderId="12" xfId="0" applyFont="1" applyFill="1" applyBorder="1" applyAlignment="1">
      <alignment horizontal="right"/>
    </xf>
    <xf numFmtId="0" fontId="0" fillId="18" borderId="11" xfId="0" applyFill="1" applyBorder="1" applyAlignment="1">
      <alignment horizontal="right"/>
    </xf>
    <xf numFmtId="0" fontId="0" fillId="18" borderId="2" xfId="0" applyFill="1" applyBorder="1" applyAlignment="1">
      <alignment horizontal="center"/>
    </xf>
    <xf numFmtId="166" fontId="0" fillId="15" borderId="0" xfId="0" applyNumberFormat="1" applyFill="1" applyBorder="1" applyAlignment="1">
      <alignment horizontal="center"/>
    </xf>
    <xf numFmtId="166" fontId="0" fillId="15" borderId="10" xfId="0" applyNumberFormat="1" applyFill="1" applyBorder="1" applyAlignment="1">
      <alignment horizontal="center"/>
    </xf>
    <xf numFmtId="0" fontId="1" fillId="18" borderId="11" xfId="0" applyFont="1" applyFill="1" applyBorder="1" applyAlignment="1">
      <alignment horizontal="center"/>
    </xf>
    <xf numFmtId="0" fontId="1" fillId="18" borderId="12" xfId="0" applyFont="1" applyFill="1" applyBorder="1" applyAlignment="1">
      <alignment horizontal="left"/>
    </xf>
    <xf numFmtId="0" fontId="1" fillId="18" borderId="2" xfId="0" applyFont="1" applyFill="1" applyBorder="1" applyAlignment="1">
      <alignment horizontal="center"/>
    </xf>
    <xf numFmtId="0" fontId="31" fillId="21" borderId="13" xfId="0" applyFont="1" applyFill="1" applyBorder="1" applyAlignment="1"/>
    <xf numFmtId="166" fontId="0" fillId="15" borderId="11" xfId="0" applyNumberFormat="1" applyFill="1" applyBorder="1" applyAlignment="1">
      <alignment horizontal="center"/>
    </xf>
    <xf numFmtId="166" fontId="0" fillId="19" borderId="8" xfId="0" applyNumberFormat="1" applyFill="1" applyBorder="1" applyAlignment="1">
      <alignment horizontal="center"/>
    </xf>
    <xf numFmtId="166" fontId="0" fillId="19" borderId="9" xfId="0" applyNumberFormat="1" applyFill="1" applyBorder="1" applyAlignment="1">
      <alignment horizontal="center"/>
    </xf>
    <xf numFmtId="2" fontId="0" fillId="19" borderId="12" xfId="0" applyNumberFormat="1" applyFill="1" applyBorder="1" applyAlignment="1">
      <alignment horizontal="center"/>
    </xf>
    <xf numFmtId="165" fontId="0" fillId="19" borderId="7" xfId="0" applyNumberFormat="1" applyFill="1" applyBorder="1" applyAlignment="1">
      <alignment horizontal="center"/>
    </xf>
    <xf numFmtId="0" fontId="18" fillId="2" borderId="0" xfId="0" applyFont="1" applyFill="1" applyBorder="1"/>
    <xf numFmtId="0" fontId="2" fillId="15" borderId="0" xfId="0" applyFont="1" applyFill="1" applyBorder="1" applyAlignment="1">
      <alignment horizontal="left"/>
    </xf>
    <xf numFmtId="0" fontId="0" fillId="15" borderId="10" xfId="0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168" fontId="5" fillId="19" borderId="13" xfId="0" applyNumberFormat="1" applyFont="1" applyFill="1" applyBorder="1" applyAlignment="1">
      <alignment horizontal="center"/>
    </xf>
    <xf numFmtId="7" fontId="0" fillId="19" borderId="0" xfId="1" applyNumberFormat="1" applyFont="1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0" xfId="0" applyFill="1"/>
    <xf numFmtId="0" fontId="0" fillId="19" borderId="11" xfId="0" applyFill="1" applyBorder="1"/>
    <xf numFmtId="0" fontId="0" fillId="12" borderId="0" xfId="0" applyFill="1"/>
    <xf numFmtId="0" fontId="1" fillId="19" borderId="0" xfId="0" applyFont="1" applyFill="1" applyAlignment="1">
      <alignment horizontal="center"/>
    </xf>
    <xf numFmtId="0" fontId="1" fillId="19" borderId="0" xfId="0" applyFont="1" applyFill="1"/>
    <xf numFmtId="0" fontId="1" fillId="12" borderId="0" xfId="0" applyFont="1" applyFill="1" applyAlignment="1">
      <alignment horizontal="center"/>
    </xf>
    <xf numFmtId="0" fontId="1" fillId="12" borderId="0" xfId="0" applyFont="1" applyFill="1"/>
    <xf numFmtId="0" fontId="7" fillId="0" borderId="1" xfId="0" applyFont="1" applyBorder="1" applyAlignment="1">
      <alignment horizontal="right"/>
    </xf>
    <xf numFmtId="2" fontId="0" fillId="15" borderId="10" xfId="0" applyNumberFormat="1" applyFill="1" applyBorder="1" applyAlignment="1">
      <alignment horizontal="center"/>
    </xf>
    <xf numFmtId="2" fontId="0" fillId="15" borderId="10" xfId="0" applyNumberFormat="1" applyFill="1" applyBorder="1"/>
    <xf numFmtId="9" fontId="0" fillId="19" borderId="0" xfId="3" applyNumberFormat="1" applyFont="1" applyFill="1" applyBorder="1" applyAlignment="1">
      <alignment horizontal="center"/>
    </xf>
    <xf numFmtId="44" fontId="0" fillId="19" borderId="0" xfId="1" applyNumberFormat="1" applyFont="1" applyFill="1" applyBorder="1" applyAlignment="1">
      <alignment horizontal="center"/>
    </xf>
    <xf numFmtId="2" fontId="1" fillId="19" borderId="0" xfId="0" applyNumberFormat="1" applyFont="1" applyFill="1" applyBorder="1" applyAlignment="1">
      <alignment horizontal="center"/>
    </xf>
    <xf numFmtId="167" fontId="0" fillId="19" borderId="0" xfId="0" applyNumberFormat="1" applyFill="1" applyBorder="1" applyAlignment="1">
      <alignment horizontal="center"/>
    </xf>
    <xf numFmtId="9" fontId="0" fillId="19" borderId="0" xfId="3" applyFont="1" applyFill="1" applyBorder="1" applyAlignment="1">
      <alignment horizontal="center"/>
    </xf>
    <xf numFmtId="167" fontId="0" fillId="21" borderId="0" xfId="0" applyNumberFormat="1" applyFill="1"/>
    <xf numFmtId="9" fontId="0" fillId="21" borderId="0" xfId="3" applyFont="1" applyFill="1"/>
    <xf numFmtId="0" fontId="1" fillId="22" borderId="12" xfId="0" applyFont="1" applyFill="1" applyBorder="1"/>
    <xf numFmtId="0" fontId="0" fillId="22" borderId="5" xfId="0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1" fillId="22" borderId="5" xfId="0" applyFont="1" applyFill="1" applyBorder="1"/>
    <xf numFmtId="0" fontId="15" fillId="7" borderId="13" xfId="0" applyFont="1" applyFill="1" applyBorder="1" applyAlignment="1" applyProtection="1">
      <alignment horizontal="center"/>
    </xf>
    <xf numFmtId="0" fontId="0" fillId="0" borderId="14" xfId="0" applyBorder="1"/>
    <xf numFmtId="0" fontId="12" fillId="4" borderId="8" xfId="0" applyFont="1" applyFill="1" applyBorder="1" applyAlignment="1" applyProtection="1">
      <alignment horizontal="center" vertical="center" wrapText="1"/>
    </xf>
    <xf numFmtId="0" fontId="12" fillId="4" borderId="12" xfId="0" applyFont="1" applyFill="1" applyBorder="1" applyAlignment="1" applyProtection="1">
      <alignment horizontal="center" vertical="center" wrapText="1"/>
    </xf>
    <xf numFmtId="0" fontId="12" fillId="4" borderId="3" xfId="0" applyFont="1" applyFill="1" applyBorder="1" applyAlignment="1" applyProtection="1">
      <alignment horizontal="center" vertical="center"/>
    </xf>
    <xf numFmtId="0" fontId="12" fillId="4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12" fillId="4" borderId="3" xfId="0" applyFont="1" applyFill="1" applyBorder="1" applyAlignment="1" applyProtection="1">
      <alignment horizontal="center" vertical="center" wrapText="1"/>
    </xf>
    <xf numFmtId="0" fontId="0" fillId="0" borderId="2" xfId="0" applyBorder="1"/>
    <xf numFmtId="165" fontId="0" fillId="21" borderId="0" xfId="0" applyNumberFormat="1" applyFill="1"/>
  </cellXfs>
  <cellStyles count="5">
    <cellStyle name="Currency" xfId="1" builtinId="4"/>
    <cellStyle name="Hyperlink" xfId="2" builtinId="8"/>
    <cellStyle name="Normal" xfId="0" builtinId="0"/>
    <cellStyle name="Normal 2" xfId="4"/>
    <cellStyle name="Percent" xfId="3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CCFF"/>
      <color rgb="FFFFFF99"/>
      <color rgb="FF66FFFF"/>
      <color rgb="FFCCEC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males</c:v>
          </c:tx>
          <c:marker>
            <c:symbol val="none"/>
          </c:marker>
          <c:xVal>
            <c:numRef>
              <c:f>ControlCenter!$L$6:$L$15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ControlCenter!$M$6:$M$15</c:f>
              <c:numCache>
                <c:formatCode>0.000</c:formatCode>
                <c:ptCount val="10"/>
                <c:pt idx="0">
                  <c:v>0.613973412115981</c:v>
                </c:pt>
                <c:pt idx="1">
                  <c:v>0.73039688454479701</c:v>
                </c:pt>
                <c:pt idx="2">
                  <c:v>0.73039688454479701</c:v>
                </c:pt>
                <c:pt idx="3">
                  <c:v>0.83137186479687974</c:v>
                </c:pt>
                <c:pt idx="4">
                  <c:v>0.87703934169121056</c:v>
                </c:pt>
                <c:pt idx="5">
                  <c:v>0.90318699860984009</c:v>
                </c:pt>
                <c:pt idx="6">
                  <c:v>0.9201470659088492</c:v>
                </c:pt>
                <c:pt idx="7">
                  <c:v>0.93204406177026911</c:v>
                </c:pt>
                <c:pt idx="8">
                  <c:v>0.94085274636083982</c:v>
                </c:pt>
                <c:pt idx="9">
                  <c:v>0.94763833175515966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ControlCenter!$N$5</c:f>
              <c:strCache>
                <c:ptCount val="1"/>
                <c:pt idx="0">
                  <c:v>females</c:v>
                </c:pt>
              </c:strCache>
            </c:strRef>
          </c:tx>
          <c:marker>
            <c:symbol val="none"/>
          </c:marker>
          <c:xVal>
            <c:numRef>
              <c:f>ControlCenter!$L$6:$L$15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ControlCenter!$N$6:$N$16</c:f>
              <c:numCache>
                <c:formatCode>0.000</c:formatCode>
                <c:ptCount val="11"/>
                <c:pt idx="0">
                  <c:v>0.38729833462074159</c:v>
                </c:pt>
                <c:pt idx="1">
                  <c:v>0.64567422467784574</c:v>
                </c:pt>
                <c:pt idx="2">
                  <c:v>0.64567422467784574</c:v>
                </c:pt>
                <c:pt idx="3">
                  <c:v>0.66574703763127241</c:v>
                </c:pt>
                <c:pt idx="4">
                  <c:v>0.68357072783980255</c:v>
                </c:pt>
                <c:pt idx="5">
                  <c:v>0.69951922950837664</c:v>
                </c:pt>
                <c:pt idx="6">
                  <c:v>0.71388466330727385</c:v>
                </c:pt>
                <c:pt idx="7">
                  <c:v>0.72689933350090696</c:v>
                </c:pt>
                <c:pt idx="8">
                  <c:v>0.73875077964976776</c:v>
                </c:pt>
                <c:pt idx="9">
                  <c:v>0.74959237571331572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32928"/>
        <c:axId val="151934848"/>
      </c:scatterChart>
      <c:valAx>
        <c:axId val="15193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Age Class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934848"/>
        <c:crosses val="autoZero"/>
        <c:crossBetween val="midCat"/>
      </c:valAx>
      <c:valAx>
        <c:axId val="151934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 b="0"/>
                  <a:t>Accuracy</a:t>
                </a:r>
              </a:p>
            </c:rich>
          </c:tx>
          <c:layout>
            <c:manualLayout>
              <c:xMode val="edge"/>
              <c:yMode val="edge"/>
              <c:x val="2.23463687150838E-2"/>
              <c:y val="0.29984540167773144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151932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227097620861911"/>
          <c:y val="0.47183836395450568"/>
          <c:w val="0.16662666158665651"/>
          <c:h val="0.1575853018372703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590550</xdr:colOff>
      <xdr:row>18</xdr:row>
      <xdr:rowOff>28575</xdr:rowOff>
    </xdr:from>
    <xdr:to>
      <xdr:col>12</xdr:col>
      <xdr:colOff>628650</xdr:colOff>
      <xdr:row>20</xdr:row>
      <xdr:rowOff>123825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2275" y="1924050"/>
          <a:ext cx="1257300" cy="4953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18</xdr:row>
      <xdr:rowOff>183294</xdr:rowOff>
    </xdr:from>
    <xdr:to>
      <xdr:col>17</xdr:col>
      <xdr:colOff>560251</xdr:colOff>
      <xdr:row>22</xdr:row>
      <xdr:rowOff>63313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7350" y="2078769"/>
          <a:ext cx="1731826" cy="632494"/>
        </a:xfrm>
        <a:prstGeom prst="rect">
          <a:avLst/>
        </a:prstGeom>
      </xdr:spPr>
    </xdr:pic>
    <xdr:clientData/>
  </xdr:twoCellAnchor>
  <xdr:twoCellAnchor editAs="oneCell">
    <xdr:from>
      <xdr:col>3</xdr:col>
      <xdr:colOff>295275</xdr:colOff>
      <xdr:row>30</xdr:row>
      <xdr:rowOff>28575</xdr:rowOff>
    </xdr:from>
    <xdr:to>
      <xdr:col>4</xdr:col>
      <xdr:colOff>405065</xdr:colOff>
      <xdr:row>31</xdr:row>
      <xdr:rowOff>153187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4075" y="5076825"/>
          <a:ext cx="719390" cy="286537"/>
        </a:xfrm>
        <a:prstGeom prst="rect">
          <a:avLst/>
        </a:prstGeom>
      </xdr:spPr>
    </xdr:pic>
    <xdr:clientData/>
  </xdr:twoCellAnchor>
  <xdr:oneCellAnchor>
    <xdr:from>
      <xdr:col>3</xdr:col>
      <xdr:colOff>171450</xdr:colOff>
      <xdr:row>23</xdr:row>
      <xdr:rowOff>74411</xdr:rowOff>
    </xdr:from>
    <xdr:ext cx="1743075" cy="636602"/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0" y="4313036"/>
          <a:ext cx="1743075" cy="636602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10</xdr:row>
      <xdr:rowOff>0</xdr:rowOff>
    </xdr:from>
    <xdr:to>
      <xdr:col>12</xdr:col>
      <xdr:colOff>262147</xdr:colOff>
      <xdr:row>11</xdr:row>
      <xdr:rowOff>31643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0" y="1695450"/>
          <a:ext cx="4615072" cy="2316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719671</xdr:colOff>
      <xdr:row>18</xdr:row>
      <xdr:rowOff>1</xdr:rowOff>
    </xdr:from>
    <xdr:to>
      <xdr:col>8</xdr:col>
      <xdr:colOff>21167</xdr:colOff>
      <xdr:row>19</xdr:row>
      <xdr:rowOff>158751</xdr:rowOff>
    </xdr:to>
    <xdr:sp macro="[0]!MakeTraitList" textlink="">
      <xdr:nvSpPr>
        <xdr:cNvPr id="3" name="Text Box 9"/>
        <xdr:cNvSpPr txBox="1">
          <a:spLocks noChangeArrowheads="1"/>
        </xdr:cNvSpPr>
      </xdr:nvSpPr>
      <xdr:spPr bwMode="auto">
        <a:xfrm>
          <a:off x="3862921" y="3915834"/>
          <a:ext cx="3884079" cy="349250"/>
        </a:xfrm>
        <a:prstGeom prst="rect">
          <a:avLst/>
        </a:prstGeom>
        <a:solidFill>
          <a:srgbClr val="FF66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click here if you change index, breeding objective or trait measurement</a:t>
          </a:r>
        </a:p>
      </xdr:txBody>
    </xdr:sp>
    <xdr:clientData/>
  </xdr:twoCellAnchor>
  <xdr:twoCellAnchor>
    <xdr:from>
      <xdr:col>2</xdr:col>
      <xdr:colOff>552451</xdr:colOff>
      <xdr:row>8</xdr:row>
      <xdr:rowOff>9525</xdr:rowOff>
    </xdr:from>
    <xdr:to>
      <xdr:col>4</xdr:col>
      <xdr:colOff>638175</xdr:colOff>
      <xdr:row>10</xdr:row>
      <xdr:rowOff>161925</xdr:rowOff>
    </xdr:to>
    <xdr:sp macro="[0]!poplevel" textlink="">
      <xdr:nvSpPr>
        <xdr:cNvPr id="4" name="TextBox 3"/>
        <xdr:cNvSpPr txBox="1"/>
      </xdr:nvSpPr>
      <xdr:spPr>
        <a:xfrm>
          <a:off x="3581401" y="1885950"/>
          <a:ext cx="1400174" cy="542925"/>
        </a:xfrm>
        <a:prstGeom prst="rect">
          <a:avLst/>
        </a:prstGeom>
        <a:solidFill>
          <a:srgbClr val="FF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400"/>
            <a:t>RUN</a:t>
          </a:r>
        </a:p>
        <a:p>
          <a:r>
            <a:rPr lang="en-AU" sz="1100"/>
            <a:t>just one scenario</a:t>
          </a:r>
        </a:p>
      </xdr:txBody>
    </xdr:sp>
    <xdr:clientData/>
  </xdr:twoCellAnchor>
  <xdr:twoCellAnchor>
    <xdr:from>
      <xdr:col>6</xdr:col>
      <xdr:colOff>19050</xdr:colOff>
      <xdr:row>1</xdr:row>
      <xdr:rowOff>171450</xdr:rowOff>
    </xdr:from>
    <xdr:to>
      <xdr:col>11</xdr:col>
      <xdr:colOff>687917</xdr:colOff>
      <xdr:row>13</xdr:row>
      <xdr:rowOff>52917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638176</xdr:colOff>
      <xdr:row>3</xdr:row>
      <xdr:rowOff>47625</xdr:rowOff>
    </xdr:from>
    <xdr:to>
      <xdr:col>6</xdr:col>
      <xdr:colOff>9525</xdr:colOff>
      <xdr:row>3</xdr:row>
      <xdr:rowOff>323850</xdr:rowOff>
    </xdr:to>
    <xdr:sp macro="[0]!graphacc" textlink="">
      <xdr:nvSpPr>
        <xdr:cNvPr id="5" name="TextBox 4"/>
        <xdr:cNvSpPr txBox="1"/>
      </xdr:nvSpPr>
      <xdr:spPr>
        <a:xfrm>
          <a:off x="4981576" y="762000"/>
          <a:ext cx="695324" cy="276225"/>
        </a:xfrm>
        <a:prstGeom prst="rect">
          <a:avLst/>
        </a:prstGeom>
        <a:solidFill>
          <a:srgbClr val="FF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reGraph</a:t>
          </a:r>
          <a:endParaRPr lang="en-AU" sz="1000"/>
        </a:p>
      </xdr:txBody>
    </xdr:sp>
    <xdr:clientData/>
  </xdr:twoCellAnchor>
  <xdr:twoCellAnchor>
    <xdr:from>
      <xdr:col>2</xdr:col>
      <xdr:colOff>504825</xdr:colOff>
      <xdr:row>13</xdr:row>
      <xdr:rowOff>9525</xdr:rowOff>
    </xdr:from>
    <xdr:to>
      <xdr:col>5</xdr:col>
      <xdr:colOff>571500</xdr:colOff>
      <xdr:row>16</xdr:row>
      <xdr:rowOff>161925</xdr:rowOff>
    </xdr:to>
    <xdr:sp macro="[0]!runsim" textlink="">
      <xdr:nvSpPr>
        <xdr:cNvPr id="7" name="TextBox 6"/>
        <xdr:cNvSpPr txBox="1"/>
      </xdr:nvSpPr>
      <xdr:spPr>
        <a:xfrm>
          <a:off x="3533775" y="2847975"/>
          <a:ext cx="2095500" cy="752475"/>
        </a:xfrm>
        <a:prstGeom prst="rect">
          <a:avLst/>
        </a:prstGeom>
        <a:solidFill>
          <a:srgbClr val="FF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400"/>
            <a:t>RUN</a:t>
          </a:r>
        </a:p>
        <a:p>
          <a:r>
            <a:rPr lang="en-AU" sz="1100"/>
            <a:t>compare</a:t>
          </a:r>
          <a:r>
            <a:rPr lang="en-AU" sz="1100" baseline="0"/>
            <a:t> </a:t>
          </a:r>
          <a:r>
            <a:rPr lang="en-AU" sz="1100"/>
            <a:t>scenario with and without genomic selection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695325</xdr:colOff>
      <xdr:row>1</xdr:row>
      <xdr:rowOff>11906</xdr:rowOff>
    </xdr:from>
    <xdr:to>
      <xdr:col>20</xdr:col>
      <xdr:colOff>0</xdr:colOff>
      <xdr:row>2</xdr:row>
      <xdr:rowOff>59531</xdr:rowOff>
    </xdr:to>
    <xdr:sp macro="[0]!singlecohort" textlink="">
      <xdr:nvSpPr>
        <xdr:cNvPr id="7" name="Text Box 18"/>
        <xdr:cNvSpPr txBox="1">
          <a:spLocks noChangeArrowheads="1"/>
        </xdr:cNvSpPr>
      </xdr:nvSpPr>
      <xdr:spPr bwMode="auto">
        <a:xfrm>
          <a:off x="13696950" y="221456"/>
          <a:ext cx="3724275" cy="257175"/>
        </a:xfrm>
        <a:prstGeom prst="rect">
          <a:avLst/>
        </a:prstGeom>
        <a:solidFill>
          <a:srgbClr val="FF99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Calculate response for selection for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julius.vanderwerf@une.edu.au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1418"/>
  <sheetViews>
    <sheetView workbookViewId="0">
      <selection activeCell="V33" sqref="V33"/>
    </sheetView>
  </sheetViews>
  <sheetFormatPr defaultRowHeight="12.75" x14ac:dyDescent="0.2"/>
  <cols>
    <col min="6" max="6" width="10.42578125" customWidth="1"/>
    <col min="13" max="13" width="14.140625" customWidth="1"/>
    <col min="19" max="19" width="14.7109375" customWidth="1"/>
    <col min="20" max="20" width="14.140625" customWidth="1"/>
    <col min="25" max="25" width="10.85546875" customWidth="1"/>
  </cols>
  <sheetData>
    <row r="1" spans="1:87" x14ac:dyDescent="0.2">
      <c r="A1" s="141" t="s">
        <v>195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87" x14ac:dyDescent="0.2">
      <c r="A2" s="1"/>
      <c r="B2" s="1">
        <v>1</v>
      </c>
      <c r="C2" s="141" t="s">
        <v>180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87" x14ac:dyDescent="0.2">
      <c r="A3" s="1"/>
      <c r="B3" s="1">
        <v>2</v>
      </c>
      <c r="C3" s="141" t="s">
        <v>58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87" x14ac:dyDescent="0.2">
      <c r="A4" s="1"/>
      <c r="B4" s="1">
        <v>3</v>
      </c>
      <c r="C4" s="141" t="s">
        <v>59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87" x14ac:dyDescent="0.2">
      <c r="A5" s="1"/>
      <c r="B5" s="1">
        <v>4</v>
      </c>
      <c r="C5" s="141" t="s">
        <v>60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</row>
    <row r="6" spans="1:87" x14ac:dyDescent="0.2">
      <c r="A6" s="1"/>
      <c r="B6" s="1"/>
      <c r="C6" s="14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87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</row>
    <row r="8" spans="1:87" ht="15.75" x14ac:dyDescent="0.25">
      <c r="A8" s="1"/>
      <c r="B8" s="145"/>
      <c r="C8" s="5"/>
      <c r="D8" s="5"/>
      <c r="E8" s="5"/>
      <c r="F8" s="5"/>
      <c r="G8" s="5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</row>
    <row r="9" spans="1:87" x14ac:dyDescent="0.2">
      <c r="A9" s="1"/>
      <c r="B9" s="1"/>
      <c r="C9" s="141" t="s">
        <v>177</v>
      </c>
      <c r="D9" s="1"/>
      <c r="E9" s="1"/>
      <c r="F9" s="1"/>
      <c r="G9" s="1"/>
      <c r="H9" s="1"/>
      <c r="I9" s="1"/>
      <c r="J9" s="1"/>
      <c r="K9" s="1"/>
      <c r="L9" s="1"/>
      <c r="M9" s="1"/>
      <c r="N9" s="141" t="s">
        <v>242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</row>
    <row r="10" spans="1:87" s="189" customFormat="1" ht="15.75" x14ac:dyDescent="0.25">
      <c r="A10" s="1"/>
      <c r="B10" s="1"/>
      <c r="C10" s="5"/>
      <c r="D10" s="5" t="s">
        <v>190</v>
      </c>
      <c r="E10" s="5"/>
      <c r="F10" s="5"/>
      <c r="G10" s="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</row>
    <row r="11" spans="1:87" s="189" customFormat="1" ht="15.75" x14ac:dyDescent="0.25">
      <c r="A11" s="1"/>
      <c r="B11" s="1"/>
      <c r="C11" s="5"/>
      <c r="D11" s="5"/>
      <c r="E11" s="5"/>
      <c r="F11" s="141"/>
      <c r="G11" s="5"/>
      <c r="H11" s="1"/>
      <c r="I11" s="1"/>
      <c r="J11" s="1"/>
      <c r="K11" s="1"/>
      <c r="L11" s="1"/>
      <c r="M11" s="1"/>
      <c r="N11" s="1"/>
      <c r="O11" s="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</row>
    <row r="12" spans="1:87" ht="15.75" x14ac:dyDescent="0.25">
      <c r="A12" s="1"/>
      <c r="B12" s="1"/>
      <c r="C12" s="5"/>
      <c r="D12" s="5"/>
      <c r="E12" s="5"/>
      <c r="F12" s="141" t="s">
        <v>196</v>
      </c>
      <c r="G12" s="5"/>
      <c r="H12" s="1"/>
      <c r="I12" s="1"/>
      <c r="J12" s="1"/>
      <c r="K12" s="291"/>
      <c r="L12" s="291"/>
      <c r="M12" s="1"/>
      <c r="N12" s="1"/>
      <c r="O12" s="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</row>
    <row r="13" spans="1:87" s="189" customFormat="1" ht="15.75" x14ac:dyDescent="0.25">
      <c r="A13" s="1"/>
      <c r="B13" s="1"/>
      <c r="C13" s="5"/>
      <c r="D13" s="5"/>
      <c r="E13" s="5"/>
      <c r="F13" s="141" t="s">
        <v>188</v>
      </c>
      <c r="G13" s="5"/>
      <c r="H13" s="1"/>
      <c r="I13" s="1"/>
      <c r="J13" s="1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</row>
    <row r="14" spans="1:87" s="189" customFormat="1" ht="15.75" x14ac:dyDescent="0.25">
      <c r="A14" s="1"/>
      <c r="B14" s="1"/>
      <c r="C14" s="5"/>
      <c r="D14" s="324"/>
      <c r="E14" s="327"/>
      <c r="F14" s="325"/>
      <c r="G14" s="326"/>
      <c r="H14" s="326"/>
      <c r="I14" s="326"/>
      <c r="J14" s="342"/>
      <c r="K14" s="396"/>
      <c r="L14" s="366"/>
      <c r="M14" s="387" t="s">
        <v>2</v>
      </c>
      <c r="N14" s="387" t="s">
        <v>2</v>
      </c>
      <c r="O14" s="387" t="s">
        <v>2</v>
      </c>
      <c r="P14" s="397" t="s">
        <v>167</v>
      </c>
      <c r="Q14" s="367"/>
      <c r="R14" s="387" t="s">
        <v>2</v>
      </c>
      <c r="S14" s="398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</row>
    <row r="15" spans="1:87" s="189" customFormat="1" ht="15.75" x14ac:dyDescent="0.25">
      <c r="A15" s="1"/>
      <c r="B15" s="1"/>
      <c r="C15" s="5"/>
      <c r="D15" s="329" t="s">
        <v>208</v>
      </c>
      <c r="E15" s="330"/>
      <c r="F15" s="331"/>
      <c r="G15" s="2"/>
      <c r="H15" s="2"/>
      <c r="I15" s="2"/>
      <c r="J15" s="294"/>
      <c r="K15" s="317"/>
      <c r="L15" s="394" t="s">
        <v>223</v>
      </c>
      <c r="M15" s="362" t="s">
        <v>198</v>
      </c>
      <c r="N15" s="341" t="s">
        <v>56</v>
      </c>
      <c r="O15" s="341" t="s">
        <v>56</v>
      </c>
      <c r="P15" s="341" t="s">
        <v>56</v>
      </c>
      <c r="Q15" s="305" t="s">
        <v>202</v>
      </c>
      <c r="R15" s="294" t="s">
        <v>142</v>
      </c>
      <c r="S15" s="389" t="s">
        <v>204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</row>
    <row r="16" spans="1:87" s="189" customFormat="1" ht="15.75" x14ac:dyDescent="0.25">
      <c r="A16" s="1"/>
      <c r="B16" s="1"/>
      <c r="C16" s="5"/>
      <c r="D16" s="329"/>
      <c r="E16" s="330"/>
      <c r="F16" s="331"/>
      <c r="G16" s="2"/>
      <c r="H16" s="2"/>
      <c r="I16" s="2"/>
      <c r="J16" s="294"/>
      <c r="K16" s="317"/>
      <c r="L16" s="335"/>
      <c r="M16" s="215"/>
      <c r="N16" s="402" t="s">
        <v>176</v>
      </c>
      <c r="O16" s="402" t="s">
        <v>91</v>
      </c>
      <c r="P16" s="402" t="s">
        <v>207</v>
      </c>
      <c r="Q16" s="403" t="s">
        <v>203</v>
      </c>
      <c r="R16" s="345" t="s">
        <v>206</v>
      </c>
      <c r="S16" s="389" t="s">
        <v>205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</row>
    <row r="17" spans="1:87" s="189" customFormat="1" ht="15.75" x14ac:dyDescent="0.25">
      <c r="A17" s="1"/>
      <c r="B17" s="1"/>
      <c r="C17" s="5"/>
      <c r="D17" s="329"/>
      <c r="E17" s="330"/>
      <c r="F17" s="420" t="s">
        <v>224</v>
      </c>
      <c r="G17" s="2"/>
      <c r="H17" s="2"/>
      <c r="I17" s="2"/>
      <c r="J17" s="294"/>
      <c r="K17" s="317"/>
      <c r="L17" s="395" t="s">
        <v>131</v>
      </c>
      <c r="M17" s="364" t="s">
        <v>86</v>
      </c>
      <c r="N17" s="371">
        <v>1</v>
      </c>
      <c r="O17" s="371">
        <v>0</v>
      </c>
      <c r="P17" s="298"/>
      <c r="Q17" s="299"/>
      <c r="R17" s="345"/>
      <c r="S17" s="365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</row>
    <row r="18" spans="1:87" s="189" customFormat="1" ht="15.75" x14ac:dyDescent="0.25">
      <c r="A18" s="1"/>
      <c r="B18" s="1"/>
      <c r="C18" s="5"/>
      <c r="D18" s="343"/>
      <c r="E18" s="337"/>
      <c r="F18" s="344"/>
      <c r="G18" s="336"/>
      <c r="H18" s="336"/>
      <c r="I18" s="336"/>
      <c r="J18" s="299"/>
      <c r="K18" s="335"/>
      <c r="L18" s="399" t="s">
        <v>33</v>
      </c>
      <c r="M18" s="371" t="s">
        <v>109</v>
      </c>
      <c r="N18" s="371">
        <v>0</v>
      </c>
      <c r="O18" s="371">
        <v>0</v>
      </c>
      <c r="P18" s="371">
        <v>0</v>
      </c>
      <c r="Q18" s="196"/>
      <c r="R18" s="400">
        <v>1</v>
      </c>
      <c r="S18" s="401">
        <v>2.2000000000000002E-2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</row>
    <row r="19" spans="1:87" s="189" customFormat="1" ht="15.75" x14ac:dyDescent="0.25">
      <c r="A19" s="1"/>
      <c r="B19" s="1"/>
      <c r="C19" s="5"/>
      <c r="D19" s="329" t="s">
        <v>178</v>
      </c>
      <c r="E19" s="331"/>
      <c r="F19" s="331"/>
      <c r="G19" s="331"/>
      <c r="H19" s="2"/>
      <c r="I19" s="2"/>
      <c r="J19" s="2"/>
      <c r="K19" s="2"/>
      <c r="L19" s="330"/>
      <c r="M19" s="2"/>
      <c r="N19" s="333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</row>
    <row r="20" spans="1:87" s="189" customFormat="1" ht="15.75" x14ac:dyDescent="0.25">
      <c r="A20" s="1"/>
      <c r="B20" s="1"/>
      <c r="C20" s="5"/>
      <c r="D20" s="329"/>
      <c r="E20" s="330" t="s">
        <v>179</v>
      </c>
      <c r="F20" s="331"/>
      <c r="G20" s="331"/>
      <c r="H20" s="2"/>
      <c r="I20" s="2"/>
      <c r="J20" s="2"/>
      <c r="K20" s="2"/>
      <c r="L20" s="4"/>
      <c r="M20" s="2"/>
      <c r="N20" s="332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</row>
    <row r="21" spans="1:87" x14ac:dyDescent="0.2">
      <c r="A21" s="1"/>
      <c r="B21" s="1"/>
      <c r="C21" s="289"/>
      <c r="D21" s="115"/>
      <c r="E21" s="330" t="s">
        <v>192</v>
      </c>
      <c r="F21" s="330"/>
      <c r="G21" s="2"/>
      <c r="H21" s="2"/>
      <c r="I21" s="2"/>
      <c r="J21" s="2"/>
      <c r="K21" s="2"/>
      <c r="L21" s="2"/>
      <c r="M21" s="2"/>
      <c r="N21" s="333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</row>
    <row r="22" spans="1:87" s="189" customFormat="1" ht="15" x14ac:dyDescent="0.25">
      <c r="A22" s="1"/>
      <c r="B22" s="1"/>
      <c r="C22" s="1"/>
      <c r="D22" s="115"/>
      <c r="E22" s="2"/>
      <c r="F22" s="2"/>
      <c r="G22" s="2"/>
      <c r="H22" s="2"/>
      <c r="I22" s="334"/>
      <c r="J22" s="2"/>
      <c r="K22" s="330" t="s">
        <v>193</v>
      </c>
      <c r="L22" s="2"/>
      <c r="M22" s="2"/>
      <c r="N22" s="333"/>
      <c r="O22" s="1"/>
      <c r="P22" s="1"/>
      <c r="Q22" s="1"/>
      <c r="R22" s="1"/>
      <c r="S22" s="1"/>
      <c r="T22" s="1"/>
      <c r="U22" s="1"/>
      <c r="V22" s="146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</row>
    <row r="23" spans="1:87" s="189" customFormat="1" ht="15" x14ac:dyDescent="0.25">
      <c r="A23" s="1"/>
      <c r="B23" s="1"/>
      <c r="C23" s="1"/>
      <c r="D23" s="339"/>
      <c r="E23" s="336"/>
      <c r="F23" s="336"/>
      <c r="G23" s="336"/>
      <c r="H23" s="336"/>
      <c r="I23" s="334"/>
      <c r="J23" s="2"/>
      <c r="K23" s="330" t="s">
        <v>194</v>
      </c>
      <c r="L23" s="2"/>
      <c r="M23" s="336"/>
      <c r="N23" s="338"/>
      <c r="O23" s="1"/>
      <c r="P23" s="1"/>
      <c r="Q23" s="1"/>
      <c r="R23" s="1"/>
      <c r="S23" s="1"/>
      <c r="T23" s="1"/>
      <c r="U23" s="1"/>
      <c r="V23" s="146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</row>
    <row r="24" spans="1:87" x14ac:dyDescent="0.2">
      <c r="A24" s="1"/>
      <c r="B24" s="291"/>
      <c r="C24" s="291"/>
      <c r="D24" s="115"/>
      <c r="E24" s="2"/>
      <c r="F24" s="2"/>
      <c r="G24" s="2"/>
      <c r="H24" s="2"/>
      <c r="I24" s="326"/>
      <c r="J24" s="326"/>
      <c r="K24" s="326"/>
      <c r="L24" s="326"/>
      <c r="M24" s="2"/>
      <c r="N24" s="328"/>
      <c r="O24" s="1"/>
      <c r="P24" s="1"/>
      <c r="Q24" s="1"/>
      <c r="R24" s="1"/>
      <c r="S24" s="1"/>
      <c r="T24" s="1"/>
      <c r="U24" s="1"/>
      <c r="V24" s="146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</row>
    <row r="25" spans="1:87" s="189" customFormat="1" ht="15" x14ac:dyDescent="0.2">
      <c r="A25" s="1"/>
      <c r="B25" s="291"/>
      <c r="C25" s="291"/>
      <c r="D25" s="404" t="s">
        <v>189</v>
      </c>
      <c r="E25" s="330"/>
      <c r="F25" s="330"/>
      <c r="G25" s="330" t="s">
        <v>209</v>
      </c>
      <c r="H25" s="2"/>
      <c r="I25" s="2"/>
      <c r="J25" s="2"/>
      <c r="K25" s="2"/>
      <c r="L25" s="2"/>
      <c r="M25" s="2"/>
      <c r="N25" s="333"/>
      <c r="O25" s="1"/>
      <c r="P25" s="1"/>
      <c r="Q25" s="1"/>
      <c r="R25" s="1"/>
      <c r="S25" s="1"/>
      <c r="T25" s="1"/>
      <c r="U25" s="1"/>
      <c r="V25" s="146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</row>
    <row r="26" spans="1:87" s="189" customFormat="1" x14ac:dyDescent="0.2">
      <c r="A26" s="1"/>
      <c r="B26" s="291"/>
      <c r="C26" s="291"/>
      <c r="D26" s="115"/>
      <c r="E26" s="2"/>
      <c r="F26" s="330"/>
      <c r="G26" s="330" t="s">
        <v>210</v>
      </c>
      <c r="H26" s="2"/>
      <c r="I26" s="2"/>
      <c r="J26" s="2"/>
      <c r="K26" s="2"/>
      <c r="L26" s="2"/>
      <c r="M26" s="2"/>
      <c r="N26" s="333"/>
      <c r="O26" s="1"/>
      <c r="P26" s="2"/>
      <c r="Q26" s="2"/>
      <c r="R26" s="2"/>
      <c r="S26" s="2"/>
      <c r="T26" s="2"/>
      <c r="U26" s="2"/>
      <c r="V26" s="146"/>
      <c r="W26" s="2"/>
      <c r="X26" s="2"/>
      <c r="Y26" s="2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</row>
    <row r="27" spans="1:87" s="189" customFormat="1" x14ac:dyDescent="0.2">
      <c r="A27" s="1"/>
      <c r="B27" s="291"/>
      <c r="C27" s="291"/>
      <c r="D27" s="115"/>
      <c r="E27" s="2"/>
      <c r="F27" s="2"/>
      <c r="G27" s="330" t="s">
        <v>191</v>
      </c>
      <c r="H27" s="2"/>
      <c r="I27" s="2"/>
      <c r="J27" s="2"/>
      <c r="K27" s="2"/>
      <c r="L27" s="2"/>
      <c r="M27" s="2"/>
      <c r="N27" s="333"/>
      <c r="O27" s="1"/>
      <c r="P27" s="2"/>
      <c r="Q27" s="2"/>
      <c r="R27" s="2"/>
      <c r="S27" s="2"/>
      <c r="T27" s="2"/>
      <c r="U27" s="2"/>
      <c r="V27" s="146"/>
      <c r="W27" s="2"/>
      <c r="X27" s="2"/>
      <c r="Y27" s="2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</row>
    <row r="28" spans="1:87" s="189" customFormat="1" x14ac:dyDescent="0.2">
      <c r="A28" s="1"/>
      <c r="B28" s="291"/>
      <c r="C28" s="291"/>
      <c r="D28" s="115"/>
      <c r="E28" s="2"/>
      <c r="F28" s="2"/>
      <c r="G28" s="330"/>
      <c r="H28" s="2"/>
      <c r="I28" s="2"/>
      <c r="J28" s="2"/>
      <c r="K28" s="2"/>
      <c r="L28" s="2"/>
      <c r="M28" s="2"/>
      <c r="N28" s="333"/>
      <c r="O28" s="1"/>
      <c r="P28" s="2"/>
      <c r="Q28" s="2"/>
      <c r="R28" s="2"/>
      <c r="S28" s="2"/>
      <c r="T28" s="2"/>
      <c r="U28" s="2"/>
      <c r="V28" s="146"/>
      <c r="W28" s="2"/>
      <c r="X28" s="2"/>
      <c r="Y28" s="2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</row>
    <row r="29" spans="1:87" s="189" customFormat="1" x14ac:dyDescent="0.2">
      <c r="A29" s="1"/>
      <c r="B29" s="291"/>
      <c r="C29" s="291"/>
      <c r="D29" s="339"/>
      <c r="E29" s="336"/>
      <c r="F29" s="336"/>
      <c r="G29" s="336"/>
      <c r="H29" s="336"/>
      <c r="I29" s="336"/>
      <c r="J29" s="288"/>
      <c r="K29" s="336"/>
      <c r="L29" s="336"/>
      <c r="M29" s="336"/>
      <c r="N29" s="338"/>
      <c r="O29" s="1"/>
      <c r="P29" s="2"/>
      <c r="Q29" s="2"/>
      <c r="R29" s="2"/>
      <c r="S29" s="2"/>
      <c r="T29" s="2"/>
      <c r="U29" s="2"/>
      <c r="V29" s="146"/>
      <c r="W29" s="2"/>
      <c r="X29" s="2"/>
      <c r="Y29" s="2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</row>
    <row r="30" spans="1:87" x14ac:dyDescent="0.2">
      <c r="A30" s="1"/>
      <c r="B30" s="1"/>
      <c r="C30" s="141"/>
      <c r="D30" s="404" t="s">
        <v>184</v>
      </c>
      <c r="E30" s="2"/>
      <c r="F30" s="330" t="s">
        <v>185</v>
      </c>
      <c r="G30" s="2"/>
      <c r="H30" s="2"/>
      <c r="I30" s="2"/>
      <c r="J30" s="2"/>
      <c r="K30" s="333"/>
      <c r="L30" s="1"/>
      <c r="M30" s="1"/>
      <c r="N30" s="1"/>
      <c r="O30" s="1"/>
      <c r="P30" s="1"/>
      <c r="Q30" s="1"/>
      <c r="R30" s="1"/>
      <c r="T30" s="1"/>
      <c r="U30" s="1"/>
      <c r="V30" s="146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</row>
    <row r="31" spans="1:87" x14ac:dyDescent="0.2">
      <c r="A31" s="1"/>
      <c r="B31" s="1"/>
      <c r="C31" s="1"/>
      <c r="D31" s="317"/>
      <c r="E31" s="294"/>
      <c r="F31" s="305" t="s">
        <v>186</v>
      </c>
      <c r="G31" s="294"/>
      <c r="H31" s="294"/>
      <c r="I31" s="294"/>
      <c r="J31" s="2"/>
      <c r="K31" s="333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</row>
    <row r="32" spans="1:87" x14ac:dyDescent="0.2">
      <c r="A32" s="1"/>
      <c r="B32" s="1"/>
      <c r="C32" s="1"/>
      <c r="D32" s="340"/>
      <c r="E32" s="336"/>
      <c r="F32" s="337" t="s">
        <v>187</v>
      </c>
      <c r="G32" s="336"/>
      <c r="H32" s="336"/>
      <c r="I32" s="336"/>
      <c r="J32" s="336"/>
      <c r="K32" s="338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</row>
    <row r="33" spans="1:87" ht="15" x14ac:dyDescent="0.25">
      <c r="A33" s="1"/>
      <c r="B33" s="1"/>
      <c r="C33" s="1"/>
      <c r="D33" s="291"/>
      <c r="E33" s="291"/>
      <c r="F33" s="291"/>
      <c r="G33" s="291"/>
      <c r="H33" s="291"/>
      <c r="I33" s="291"/>
      <c r="J33" s="1"/>
      <c r="K33" s="1"/>
      <c r="L33" s="1"/>
      <c r="M33" s="1"/>
      <c r="N33" s="1"/>
      <c r="O33" s="290" t="s">
        <v>182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</row>
    <row r="34" spans="1:87" x14ac:dyDescent="0.2">
      <c r="A34" s="1"/>
      <c r="B34" s="1"/>
      <c r="C34" s="1"/>
      <c r="D34" s="141" t="s">
        <v>212</v>
      </c>
      <c r="E34" s="1"/>
      <c r="F34" s="1"/>
      <c r="G34" s="2"/>
      <c r="H34" s="2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</row>
    <row r="35" spans="1:87" x14ac:dyDescent="0.2">
      <c r="A35" s="1"/>
      <c r="B35" s="1"/>
      <c r="C35" s="1"/>
      <c r="D35" s="141" t="s">
        <v>213</v>
      </c>
      <c r="E35" s="1"/>
      <c r="F35" s="1"/>
      <c r="G35" s="2"/>
      <c r="H35" s="2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</row>
    <row r="36" spans="1:87" x14ac:dyDescent="0.2">
      <c r="A36" s="1"/>
      <c r="B36" s="1"/>
      <c r="C36" s="1"/>
      <c r="D36" s="141" t="s">
        <v>214</v>
      </c>
      <c r="E36" s="1"/>
      <c r="F36" s="1"/>
      <c r="G36" s="2"/>
      <c r="H36" s="2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</row>
    <row r="37" spans="1:87" x14ac:dyDescent="0.2">
      <c r="A37" s="1"/>
      <c r="B37" s="1"/>
      <c r="C37" s="1"/>
      <c r="D37" s="141" t="s">
        <v>211</v>
      </c>
      <c r="E37" s="1"/>
      <c r="F37" s="1"/>
      <c r="G37" s="4"/>
      <c r="H37" s="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</row>
    <row r="38" spans="1:87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</row>
    <row r="39" spans="1:87" x14ac:dyDescent="0.2">
      <c r="A39" s="1"/>
      <c r="B39" s="1"/>
      <c r="C39" s="141" t="s">
        <v>181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</row>
    <row r="40" spans="1:87" x14ac:dyDescent="0.2">
      <c r="A40" s="1"/>
      <c r="B40" s="1"/>
      <c r="C40" s="1" t="s">
        <v>16</v>
      </c>
      <c r="D40" s="1"/>
      <c r="E40" s="1" t="s">
        <v>13</v>
      </c>
      <c r="F40" s="1"/>
      <c r="G40" s="1" t="s">
        <v>14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</row>
    <row r="41" spans="1:87" x14ac:dyDescent="0.2">
      <c r="A41" s="1"/>
      <c r="B41" s="1"/>
      <c r="C41" s="1"/>
      <c r="D41" s="1"/>
      <c r="E41" s="1" t="s">
        <v>15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</row>
    <row r="42" spans="1:87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</row>
    <row r="43" spans="1:87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</row>
    <row r="44" spans="1:87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</row>
    <row r="45" spans="1:87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</row>
    <row r="46" spans="1:87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</row>
    <row r="47" spans="1:87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</row>
    <row r="48" spans="1:87" x14ac:dyDescent="0.2">
      <c r="A48" s="1"/>
      <c r="B48" s="1"/>
      <c r="C48" s="1" t="s">
        <v>17</v>
      </c>
      <c r="D48" s="1"/>
      <c r="E48" s="1" t="s">
        <v>18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</row>
    <row r="49" spans="1:87" x14ac:dyDescent="0.2">
      <c r="A49" s="1"/>
      <c r="B49" s="1"/>
      <c r="C49" s="1"/>
      <c r="D49" s="1"/>
      <c r="E49" s="1" t="s">
        <v>19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</row>
    <row r="50" spans="1:87" x14ac:dyDescent="0.2">
      <c r="A50" s="1"/>
      <c r="B50" s="1"/>
      <c r="C50" s="1"/>
      <c r="D50" s="1"/>
      <c r="E50" s="1" t="s">
        <v>20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</row>
    <row r="51" spans="1:87" x14ac:dyDescent="0.2">
      <c r="A51" s="1"/>
      <c r="B51" s="1"/>
      <c r="C51" s="1"/>
      <c r="D51" s="1"/>
      <c r="E51" s="6" t="s">
        <v>21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</row>
    <row r="52" spans="1:87" x14ac:dyDescent="0.2">
      <c r="A52" s="1"/>
      <c r="B52" s="1"/>
      <c r="C52" s="1"/>
      <c r="D52" s="1"/>
      <c r="E52" s="1" t="s">
        <v>22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</row>
    <row r="53" spans="1:87" x14ac:dyDescent="0.2">
      <c r="A53" s="1"/>
      <c r="B53" s="1"/>
      <c r="C53" s="1"/>
      <c r="D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</row>
    <row r="54" spans="1:87" x14ac:dyDescent="0.2">
      <c r="A54" s="1"/>
      <c r="B54" s="1"/>
      <c r="C54" s="1"/>
      <c r="D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</row>
    <row r="55" spans="1:87" x14ac:dyDescent="0.2">
      <c r="A55" s="1"/>
      <c r="B55" s="1"/>
      <c r="C55" s="1"/>
      <c r="D55" s="1"/>
      <c r="E55" s="1" t="s">
        <v>23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</row>
    <row r="56" spans="1:87" x14ac:dyDescent="0.2">
      <c r="A56" s="1"/>
      <c r="B56" s="1"/>
      <c r="C56" s="1"/>
      <c r="D56" s="1"/>
      <c r="E56" s="1" t="s">
        <v>24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</row>
    <row r="57" spans="1:87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</row>
    <row r="58" spans="1:87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</row>
    <row r="59" spans="1:87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</row>
    <row r="60" spans="1:87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</row>
    <row r="61" spans="1:87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</row>
    <row r="62" spans="1:87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</row>
    <row r="63" spans="1:87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</row>
    <row r="64" spans="1:87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</row>
    <row r="65" spans="1:87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</row>
    <row r="66" spans="1:87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</row>
    <row r="67" spans="1:87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</row>
    <row r="68" spans="1:87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</row>
    <row r="69" spans="1:87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</row>
    <row r="70" spans="1:87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</row>
    <row r="71" spans="1:87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</row>
    <row r="72" spans="1:87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</row>
    <row r="73" spans="1:87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</row>
    <row r="74" spans="1:87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</row>
    <row r="75" spans="1:87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</row>
    <row r="76" spans="1:87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</row>
    <row r="77" spans="1:87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</row>
    <row r="78" spans="1:87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</row>
    <row r="79" spans="1:87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</row>
    <row r="80" spans="1:87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</row>
    <row r="81" spans="1:87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</row>
    <row r="82" spans="1:87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</row>
    <row r="83" spans="1:87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</row>
    <row r="84" spans="1:87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</row>
    <row r="85" spans="1:87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</row>
    <row r="86" spans="1:87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</row>
    <row r="87" spans="1:87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</row>
    <row r="88" spans="1:87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</row>
    <row r="89" spans="1:87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</row>
    <row r="90" spans="1:87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</row>
    <row r="91" spans="1:87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</row>
    <row r="92" spans="1:87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</row>
    <row r="93" spans="1:87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</row>
    <row r="94" spans="1:87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</row>
    <row r="95" spans="1:87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</row>
    <row r="96" spans="1:87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</row>
    <row r="97" spans="1:87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</row>
    <row r="98" spans="1:87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</row>
    <row r="99" spans="1:87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</row>
    <row r="100" spans="1:87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</row>
    <row r="101" spans="1:87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</row>
    <row r="102" spans="1:87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</row>
    <row r="103" spans="1:87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</row>
    <row r="104" spans="1:87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</row>
    <row r="105" spans="1:87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</row>
    <row r="106" spans="1:87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</row>
    <row r="107" spans="1:87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</row>
    <row r="108" spans="1:87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</row>
    <row r="109" spans="1:87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</row>
    <row r="110" spans="1:87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</row>
    <row r="111" spans="1:87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</row>
    <row r="112" spans="1:87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</row>
    <row r="113" spans="1:87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</row>
    <row r="114" spans="1:87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</row>
    <row r="115" spans="1:87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</row>
    <row r="116" spans="1:87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</row>
    <row r="117" spans="1:87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</row>
    <row r="118" spans="1:87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</row>
    <row r="119" spans="1:87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</row>
    <row r="120" spans="1:87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</row>
    <row r="121" spans="1:87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</row>
    <row r="122" spans="1:87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</row>
    <row r="123" spans="1:87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</row>
    <row r="124" spans="1:87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</row>
    <row r="125" spans="1:87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</row>
    <row r="126" spans="1:87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</row>
    <row r="127" spans="1:87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</row>
    <row r="128" spans="1:87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</row>
    <row r="129" spans="1:87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</row>
    <row r="130" spans="1:87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</row>
    <row r="131" spans="1:87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</row>
    <row r="132" spans="1:87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</row>
    <row r="133" spans="1:87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</row>
    <row r="134" spans="1:87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</row>
    <row r="135" spans="1:87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</row>
    <row r="136" spans="1:87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</row>
    <row r="137" spans="1:87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</row>
    <row r="138" spans="1:87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</row>
    <row r="139" spans="1:87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</row>
    <row r="140" spans="1:87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</row>
    <row r="141" spans="1:87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</row>
    <row r="142" spans="1:87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</row>
    <row r="143" spans="1:87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</row>
    <row r="144" spans="1:87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</row>
    <row r="145" spans="1:87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</row>
    <row r="146" spans="1:87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</row>
    <row r="147" spans="1:87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</row>
    <row r="148" spans="1:87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</row>
    <row r="149" spans="1:87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</row>
    <row r="150" spans="1:87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</row>
    <row r="151" spans="1:87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</row>
    <row r="152" spans="1:87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</row>
    <row r="153" spans="1:87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</row>
    <row r="154" spans="1:87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</row>
    <row r="155" spans="1:87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</row>
    <row r="156" spans="1:87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</row>
    <row r="157" spans="1:87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</row>
    <row r="158" spans="1:87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</row>
    <row r="159" spans="1:87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</row>
    <row r="160" spans="1:87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</row>
    <row r="161" spans="1:87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</row>
    <row r="162" spans="1:87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</row>
    <row r="163" spans="1:87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</row>
    <row r="164" spans="1:87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</row>
    <row r="165" spans="1:87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</row>
    <row r="166" spans="1:87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</row>
    <row r="167" spans="1:87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</row>
    <row r="168" spans="1:87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</row>
    <row r="169" spans="1:87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</row>
    <row r="170" spans="1:87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</row>
    <row r="171" spans="1:87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</row>
    <row r="172" spans="1:87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</row>
    <row r="173" spans="1:87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</row>
    <row r="174" spans="1:87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</row>
    <row r="175" spans="1:87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</row>
    <row r="176" spans="1:87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</row>
    <row r="177" spans="1:87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</row>
    <row r="178" spans="1:87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</row>
    <row r="179" spans="1:87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</row>
    <row r="180" spans="1:87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</row>
    <row r="181" spans="1:87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</row>
    <row r="182" spans="1:87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</row>
    <row r="183" spans="1:87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</row>
    <row r="184" spans="1:87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</row>
    <row r="185" spans="1:87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</row>
    <row r="186" spans="1:87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</row>
    <row r="187" spans="1:87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</row>
    <row r="188" spans="1:87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</row>
    <row r="189" spans="1:87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</row>
    <row r="190" spans="1:87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</row>
    <row r="191" spans="1:87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</row>
    <row r="192" spans="1:87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</row>
    <row r="193" spans="1:87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</row>
    <row r="194" spans="1:87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</row>
    <row r="195" spans="1:87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</row>
    <row r="196" spans="1:87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</row>
    <row r="197" spans="1:87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</row>
    <row r="198" spans="1:87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</row>
    <row r="199" spans="1:87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</row>
    <row r="200" spans="1:87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</row>
    <row r="201" spans="1:87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</row>
    <row r="202" spans="1:87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</row>
    <row r="203" spans="1:87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</row>
    <row r="204" spans="1:87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</row>
    <row r="205" spans="1:87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</row>
    <row r="206" spans="1:87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</row>
    <row r="207" spans="1:87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</row>
    <row r="208" spans="1:87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</row>
    <row r="209" spans="1:87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</row>
    <row r="210" spans="1:87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</row>
    <row r="211" spans="1:87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</row>
    <row r="212" spans="1:87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</row>
    <row r="213" spans="1:87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</row>
    <row r="214" spans="1:87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</row>
    <row r="215" spans="1:87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</row>
    <row r="216" spans="1:87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</row>
    <row r="217" spans="1:87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</row>
    <row r="218" spans="1:87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</row>
    <row r="219" spans="1:87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</row>
    <row r="220" spans="1:87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</row>
    <row r="221" spans="1:87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</row>
    <row r="222" spans="1:87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</row>
    <row r="223" spans="1:87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</row>
    <row r="224" spans="1:87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</row>
    <row r="225" spans="1:87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</row>
    <row r="226" spans="1:87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</row>
    <row r="227" spans="1:87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</row>
    <row r="228" spans="1:87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</row>
    <row r="229" spans="1:87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</row>
    <row r="230" spans="1:87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</row>
    <row r="231" spans="1:87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</row>
    <row r="232" spans="1:87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</row>
    <row r="233" spans="1:87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</row>
    <row r="234" spans="1:87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</row>
    <row r="235" spans="1:87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</row>
    <row r="236" spans="1:87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</row>
    <row r="237" spans="1:87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</row>
    <row r="238" spans="1:87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</row>
    <row r="239" spans="1:87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</row>
    <row r="240" spans="1:87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</row>
    <row r="241" spans="1:87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</row>
    <row r="242" spans="1:87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</row>
    <row r="243" spans="1:87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</row>
    <row r="244" spans="1:87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</row>
    <row r="245" spans="1:87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</row>
    <row r="246" spans="1:87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</row>
    <row r="247" spans="1:87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</row>
    <row r="248" spans="1:87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</row>
    <row r="249" spans="1:87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</row>
    <row r="250" spans="1:87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</row>
    <row r="251" spans="1:87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</row>
    <row r="252" spans="1:87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</row>
    <row r="253" spans="1:87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</row>
    <row r="254" spans="1:87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</row>
    <row r="255" spans="1:87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</row>
    <row r="256" spans="1:87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</row>
    <row r="257" spans="1:87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</row>
    <row r="258" spans="1:87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</row>
    <row r="259" spans="1:87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</row>
    <row r="260" spans="1:87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</row>
    <row r="261" spans="1:87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</row>
    <row r="262" spans="1:87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</row>
    <row r="263" spans="1:87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</row>
    <row r="264" spans="1:87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</row>
    <row r="265" spans="1:87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</row>
    <row r="266" spans="1:87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</row>
    <row r="267" spans="1:87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</row>
    <row r="268" spans="1:87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</row>
    <row r="269" spans="1:87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</row>
    <row r="270" spans="1:87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</row>
    <row r="271" spans="1:87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</row>
    <row r="272" spans="1:87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</row>
    <row r="273" spans="1:87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</row>
    <row r="274" spans="1:87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</row>
    <row r="275" spans="1:87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</row>
    <row r="276" spans="1:87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</row>
    <row r="277" spans="1:87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</row>
    <row r="278" spans="1:87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</row>
    <row r="279" spans="1:87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</row>
    <row r="280" spans="1:87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</row>
    <row r="281" spans="1:87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</row>
    <row r="282" spans="1:87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</row>
    <row r="283" spans="1:87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</row>
    <row r="284" spans="1:87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</row>
    <row r="285" spans="1:87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</row>
    <row r="286" spans="1:87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</row>
    <row r="287" spans="1:87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</row>
    <row r="288" spans="1:87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</row>
    <row r="289" spans="1:87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</row>
    <row r="290" spans="1:87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</row>
    <row r="291" spans="1:87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</row>
    <row r="292" spans="1:87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</row>
    <row r="293" spans="1:87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</row>
    <row r="294" spans="1:87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</row>
    <row r="295" spans="1:87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</row>
    <row r="296" spans="1:87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</row>
    <row r="297" spans="1:87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</row>
    <row r="298" spans="1:87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</row>
    <row r="299" spans="1:87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</row>
    <row r="300" spans="1:87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</row>
    <row r="301" spans="1:87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</row>
    <row r="302" spans="1:87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</row>
    <row r="303" spans="1:87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</row>
    <row r="304" spans="1:87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</row>
    <row r="305" spans="1:87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</row>
    <row r="306" spans="1:87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</row>
    <row r="307" spans="1:87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</row>
    <row r="308" spans="1:87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</row>
    <row r="309" spans="1:87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</row>
    <row r="310" spans="1:87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</row>
    <row r="311" spans="1:87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</row>
    <row r="312" spans="1:87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</row>
    <row r="313" spans="1:87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</row>
    <row r="314" spans="1:87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</row>
    <row r="315" spans="1:87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</row>
    <row r="316" spans="1:87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</row>
    <row r="317" spans="1:87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</row>
    <row r="318" spans="1:87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</row>
    <row r="319" spans="1:87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</row>
    <row r="320" spans="1:87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</row>
    <row r="321" spans="1:87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</row>
    <row r="322" spans="1:87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</row>
    <row r="323" spans="1:87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</row>
    <row r="324" spans="1:87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</row>
    <row r="325" spans="1:87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</row>
    <row r="326" spans="1:87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</row>
    <row r="327" spans="1:87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</row>
    <row r="328" spans="1:87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</row>
    <row r="329" spans="1:87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</row>
    <row r="330" spans="1:87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</row>
    <row r="331" spans="1:87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</row>
    <row r="332" spans="1:87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</row>
    <row r="333" spans="1:87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</row>
    <row r="334" spans="1:87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</row>
    <row r="335" spans="1:87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</row>
    <row r="336" spans="1:87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</row>
    <row r="337" spans="1:87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</row>
    <row r="338" spans="1:87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</row>
    <row r="339" spans="1:87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</row>
    <row r="340" spans="1:87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</row>
    <row r="341" spans="1:87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</row>
    <row r="342" spans="1:87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</row>
    <row r="343" spans="1:87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</row>
    <row r="344" spans="1:87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</row>
    <row r="345" spans="1:87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</row>
    <row r="346" spans="1:87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</row>
    <row r="347" spans="1:87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</row>
    <row r="348" spans="1:87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</row>
    <row r="349" spans="1:87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</row>
    <row r="350" spans="1:87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</row>
    <row r="351" spans="1:87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</row>
    <row r="352" spans="1:87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</row>
    <row r="353" spans="1:87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</row>
    <row r="354" spans="1:87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</row>
    <row r="355" spans="1:87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</row>
    <row r="356" spans="1:87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</row>
    <row r="357" spans="1:87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</row>
    <row r="358" spans="1:87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</row>
    <row r="359" spans="1:87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</row>
    <row r="360" spans="1:87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</row>
    <row r="361" spans="1:87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</row>
    <row r="362" spans="1:87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</row>
    <row r="363" spans="1:87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</row>
    <row r="364" spans="1:87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</row>
    <row r="365" spans="1:87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</row>
    <row r="366" spans="1:87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</row>
    <row r="367" spans="1:87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</row>
    <row r="368" spans="1:87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</row>
    <row r="369" spans="1:87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</row>
    <row r="370" spans="1:87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</row>
    <row r="371" spans="1:87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</row>
    <row r="372" spans="1:87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</row>
    <row r="373" spans="1:87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</row>
    <row r="374" spans="1:87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</row>
    <row r="375" spans="1:87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</row>
    <row r="376" spans="1:87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</row>
    <row r="377" spans="1:87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</row>
    <row r="378" spans="1:87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</row>
    <row r="379" spans="1:87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</row>
    <row r="380" spans="1:87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</row>
    <row r="381" spans="1:87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</row>
    <row r="382" spans="1:87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</row>
    <row r="383" spans="1:87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</row>
    <row r="384" spans="1:87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</row>
    <row r="385" spans="1:87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</row>
    <row r="386" spans="1:87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</row>
    <row r="387" spans="1:87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</row>
    <row r="388" spans="1:87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</row>
    <row r="389" spans="1:87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</row>
    <row r="390" spans="1:87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</row>
    <row r="391" spans="1:87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</row>
    <row r="392" spans="1:87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</row>
    <row r="393" spans="1:87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</row>
    <row r="394" spans="1:87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</row>
    <row r="395" spans="1:87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</row>
    <row r="396" spans="1:87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</row>
    <row r="397" spans="1:87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</row>
    <row r="398" spans="1:87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</row>
    <row r="399" spans="1:87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</row>
    <row r="400" spans="1:87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</row>
    <row r="401" spans="1:87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</row>
    <row r="402" spans="1:87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</row>
    <row r="403" spans="1:87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</row>
    <row r="404" spans="1:87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</row>
    <row r="405" spans="1:87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</row>
    <row r="406" spans="1:87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</row>
    <row r="407" spans="1:87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</row>
    <row r="408" spans="1:87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</row>
    <row r="409" spans="1:87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</row>
    <row r="410" spans="1:87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</row>
    <row r="411" spans="1:87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</row>
    <row r="412" spans="1:87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</row>
    <row r="413" spans="1:87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</row>
    <row r="414" spans="1:87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</row>
    <row r="415" spans="1:87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</row>
    <row r="416" spans="1:87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</row>
    <row r="417" spans="1:87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</row>
    <row r="418" spans="1:87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</row>
    <row r="419" spans="1:87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</row>
    <row r="420" spans="1:87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</row>
    <row r="421" spans="1:87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</row>
    <row r="422" spans="1:87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</row>
    <row r="423" spans="1:87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</row>
    <row r="424" spans="1:87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</row>
    <row r="425" spans="1:87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</row>
    <row r="426" spans="1:87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</row>
    <row r="427" spans="1:87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</row>
    <row r="428" spans="1:87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</row>
    <row r="429" spans="1:87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</row>
    <row r="430" spans="1:87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</row>
    <row r="431" spans="1:87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</row>
    <row r="432" spans="1:87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</row>
    <row r="433" spans="1:87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</row>
    <row r="434" spans="1:87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</row>
    <row r="435" spans="1:87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</row>
    <row r="436" spans="1:87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</row>
    <row r="437" spans="1:87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</row>
    <row r="438" spans="1:87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</row>
    <row r="439" spans="1:87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</row>
    <row r="440" spans="1:87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</row>
    <row r="441" spans="1:87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</row>
    <row r="442" spans="1:87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</row>
    <row r="443" spans="1:87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</row>
    <row r="444" spans="1:87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</row>
    <row r="445" spans="1:87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</row>
    <row r="446" spans="1:87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</row>
    <row r="447" spans="1:87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</row>
    <row r="448" spans="1:87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</row>
    <row r="449" spans="1:87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</row>
    <row r="450" spans="1:87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</row>
    <row r="451" spans="1:87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</row>
    <row r="452" spans="1:87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</row>
    <row r="453" spans="1:87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</row>
    <row r="454" spans="1:87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</row>
    <row r="455" spans="1:87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</row>
    <row r="456" spans="1:87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</row>
    <row r="457" spans="1:87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</row>
    <row r="458" spans="1:87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</row>
    <row r="459" spans="1:87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</row>
    <row r="460" spans="1:87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</row>
    <row r="461" spans="1:87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</row>
    <row r="462" spans="1:87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</row>
    <row r="463" spans="1:87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</row>
    <row r="464" spans="1:87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</row>
    <row r="465" spans="1:87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</row>
    <row r="466" spans="1:87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</row>
    <row r="467" spans="1:87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</row>
    <row r="468" spans="1:87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</row>
    <row r="469" spans="1:87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</row>
    <row r="470" spans="1:87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</row>
    <row r="471" spans="1:87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</row>
    <row r="472" spans="1:87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</row>
    <row r="473" spans="1:87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</row>
    <row r="474" spans="1:87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</row>
    <row r="475" spans="1:87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</row>
    <row r="476" spans="1:87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</row>
    <row r="477" spans="1:87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</row>
    <row r="478" spans="1:87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</row>
    <row r="479" spans="1:87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</row>
    <row r="480" spans="1:87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</row>
    <row r="481" spans="1:87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</row>
    <row r="482" spans="1:87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</row>
    <row r="483" spans="1:87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</row>
    <row r="484" spans="1:87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</row>
    <row r="485" spans="1:87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</row>
    <row r="486" spans="1:87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</row>
    <row r="487" spans="1:87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</row>
    <row r="488" spans="1:87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</row>
    <row r="489" spans="1:87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</row>
    <row r="490" spans="1:87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</row>
    <row r="491" spans="1:87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</row>
    <row r="492" spans="1:87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</row>
    <row r="493" spans="1:87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</row>
    <row r="494" spans="1:87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</row>
    <row r="495" spans="1:87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</row>
    <row r="496" spans="1:87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</row>
    <row r="497" spans="1:87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</row>
    <row r="498" spans="1:87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</row>
    <row r="499" spans="1:87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</row>
    <row r="500" spans="1:87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</row>
    <row r="501" spans="1:87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</row>
    <row r="502" spans="1:87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</row>
    <row r="503" spans="1:87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</row>
    <row r="504" spans="1:87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</row>
    <row r="505" spans="1:87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</row>
    <row r="506" spans="1:87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</row>
    <row r="507" spans="1:87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</row>
    <row r="508" spans="1:87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</row>
    <row r="509" spans="1:87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</row>
    <row r="510" spans="1:87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</row>
    <row r="511" spans="1:87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</row>
    <row r="512" spans="1:87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</row>
    <row r="513" spans="1:87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</row>
    <row r="514" spans="1:87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</row>
    <row r="515" spans="1:87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</row>
    <row r="516" spans="1:87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</row>
    <row r="517" spans="1:87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</row>
    <row r="518" spans="1:87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</row>
    <row r="519" spans="1:87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</row>
    <row r="520" spans="1:87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</row>
    <row r="521" spans="1:87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</row>
    <row r="522" spans="1:87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</row>
    <row r="523" spans="1:87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</row>
    <row r="524" spans="1:87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</row>
    <row r="525" spans="1:87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</row>
    <row r="526" spans="1:87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</row>
    <row r="527" spans="1:87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</row>
    <row r="528" spans="1:87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</row>
    <row r="529" spans="1:87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</row>
    <row r="530" spans="1:87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</row>
    <row r="531" spans="1:87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</row>
    <row r="532" spans="1:87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</row>
    <row r="533" spans="1:87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</row>
    <row r="534" spans="1:87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</row>
    <row r="535" spans="1:87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</row>
    <row r="536" spans="1:87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</row>
    <row r="537" spans="1:87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</row>
    <row r="538" spans="1:87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</row>
    <row r="539" spans="1:87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</row>
    <row r="540" spans="1:87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</row>
    <row r="541" spans="1:87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</row>
    <row r="542" spans="1:87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</row>
    <row r="543" spans="1:87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</row>
    <row r="544" spans="1:87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</row>
    <row r="545" spans="1:87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</row>
    <row r="546" spans="1:87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</row>
    <row r="547" spans="1:87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</row>
    <row r="548" spans="1:87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</row>
    <row r="549" spans="1:87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</row>
    <row r="550" spans="1:87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</row>
    <row r="551" spans="1:87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</row>
    <row r="552" spans="1:87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</row>
    <row r="553" spans="1:87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</row>
    <row r="554" spans="1:87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</row>
    <row r="555" spans="1:87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</row>
    <row r="556" spans="1:87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</row>
    <row r="557" spans="1:87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</row>
    <row r="558" spans="1:87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</row>
    <row r="559" spans="1:87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</row>
    <row r="560" spans="1:87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</row>
    <row r="561" spans="1:87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</row>
    <row r="562" spans="1:87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</row>
    <row r="563" spans="1:87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</row>
    <row r="564" spans="1:87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</row>
    <row r="565" spans="1:87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</row>
    <row r="566" spans="1:87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</row>
    <row r="567" spans="1:87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</row>
    <row r="568" spans="1:87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</row>
    <row r="569" spans="1:87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</row>
    <row r="570" spans="1:87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</row>
    <row r="571" spans="1:87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</row>
    <row r="572" spans="1:87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</row>
    <row r="573" spans="1:87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</row>
    <row r="574" spans="1:87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</row>
    <row r="575" spans="1:87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</row>
    <row r="576" spans="1:87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</row>
    <row r="577" spans="1:87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</row>
    <row r="578" spans="1:87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</row>
    <row r="579" spans="1:87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</row>
    <row r="580" spans="1:87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</row>
    <row r="581" spans="1:87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</row>
    <row r="582" spans="1:87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</row>
    <row r="583" spans="1:87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</row>
    <row r="584" spans="1:87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</row>
    <row r="585" spans="1:87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</row>
    <row r="586" spans="1:87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</row>
    <row r="587" spans="1:87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</row>
    <row r="588" spans="1:87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</row>
    <row r="589" spans="1:87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</row>
    <row r="590" spans="1:87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</row>
    <row r="591" spans="1:87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</row>
    <row r="592" spans="1:87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</row>
    <row r="593" spans="1:87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</row>
    <row r="594" spans="1:87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</row>
    <row r="595" spans="1:87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</row>
    <row r="596" spans="1:87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</row>
    <row r="597" spans="1:87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</row>
    <row r="598" spans="1:87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</row>
    <row r="599" spans="1:87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</row>
    <row r="600" spans="1:87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</row>
    <row r="601" spans="1:87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</row>
    <row r="602" spans="1:87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</row>
    <row r="603" spans="1:87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</row>
    <row r="604" spans="1:87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</row>
    <row r="605" spans="1:87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</row>
    <row r="606" spans="1:87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</row>
    <row r="607" spans="1:87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</row>
    <row r="608" spans="1:87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</row>
    <row r="609" spans="1:87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</row>
    <row r="610" spans="1:87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</row>
    <row r="611" spans="1:87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</row>
    <row r="612" spans="1:87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</row>
    <row r="613" spans="1:87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</row>
    <row r="614" spans="1:87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</row>
    <row r="615" spans="1:87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</row>
    <row r="616" spans="1:87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</row>
    <row r="617" spans="1:87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</row>
    <row r="618" spans="1:87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</row>
    <row r="619" spans="1:87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</row>
    <row r="620" spans="1:87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</row>
    <row r="621" spans="1:87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</row>
    <row r="622" spans="1:87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</row>
    <row r="623" spans="1:87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</row>
    <row r="624" spans="1:87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</row>
    <row r="625" spans="1:87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</row>
    <row r="626" spans="1:87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</row>
    <row r="627" spans="1:87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</row>
    <row r="628" spans="1:87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</row>
    <row r="629" spans="1:87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</row>
    <row r="630" spans="1:87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</row>
    <row r="631" spans="1:87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</row>
    <row r="632" spans="1:87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</row>
    <row r="633" spans="1:87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</row>
    <row r="634" spans="1:87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</row>
    <row r="635" spans="1:87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</row>
    <row r="636" spans="1:87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</row>
    <row r="637" spans="1:87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</row>
    <row r="638" spans="1:87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</row>
    <row r="639" spans="1:87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</row>
    <row r="640" spans="1:87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</row>
    <row r="641" spans="1:87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</row>
    <row r="642" spans="1:87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</row>
    <row r="643" spans="1:87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</row>
    <row r="644" spans="1:87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</row>
    <row r="645" spans="1:87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</row>
    <row r="646" spans="1:87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</row>
    <row r="647" spans="1:87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</row>
    <row r="648" spans="1:87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</row>
    <row r="649" spans="1:87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</row>
    <row r="650" spans="1:87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</row>
    <row r="651" spans="1:87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</row>
    <row r="652" spans="1:87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</row>
    <row r="653" spans="1:87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</row>
    <row r="654" spans="1:87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</row>
    <row r="655" spans="1:87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</row>
    <row r="656" spans="1:87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</row>
    <row r="657" spans="1:87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</row>
    <row r="658" spans="1:87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</row>
    <row r="659" spans="1:87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</row>
    <row r="660" spans="1:87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</row>
    <row r="661" spans="1:87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</row>
    <row r="662" spans="1:87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</row>
    <row r="663" spans="1:87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</row>
    <row r="664" spans="1:87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</row>
    <row r="665" spans="1:87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</row>
    <row r="666" spans="1:87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</row>
    <row r="667" spans="1:87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</row>
    <row r="668" spans="1:87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</row>
    <row r="669" spans="1:87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</row>
    <row r="670" spans="1:87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</row>
    <row r="671" spans="1:87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</row>
    <row r="672" spans="1:87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</row>
    <row r="673" spans="1:87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</row>
    <row r="674" spans="1:87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</row>
    <row r="675" spans="1:87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</row>
    <row r="676" spans="1:87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</row>
    <row r="677" spans="1:87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</row>
    <row r="678" spans="1:87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</row>
    <row r="679" spans="1:87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</row>
    <row r="680" spans="1:87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</row>
    <row r="681" spans="1:87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</row>
    <row r="682" spans="1:87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</row>
    <row r="683" spans="1:87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</row>
    <row r="684" spans="1:87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</row>
    <row r="685" spans="1:87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</row>
    <row r="686" spans="1:87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</row>
    <row r="687" spans="1:87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</row>
    <row r="688" spans="1:87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</row>
    <row r="689" spans="1:87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</row>
    <row r="690" spans="1:87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</row>
    <row r="691" spans="1:87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</row>
    <row r="692" spans="1:87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</row>
    <row r="693" spans="1:87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</row>
    <row r="694" spans="1:87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</row>
    <row r="695" spans="1:87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</row>
    <row r="696" spans="1:87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</row>
    <row r="697" spans="1:87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</row>
    <row r="698" spans="1:87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</row>
    <row r="699" spans="1:87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</row>
    <row r="700" spans="1:87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</row>
    <row r="701" spans="1:87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</row>
    <row r="702" spans="1:87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</row>
    <row r="703" spans="1:87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</row>
    <row r="704" spans="1:87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</row>
    <row r="705" spans="1:87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</row>
    <row r="706" spans="1:87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</row>
    <row r="707" spans="1:87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</row>
    <row r="708" spans="1:87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</row>
    <row r="709" spans="1:87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</row>
    <row r="710" spans="1:87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</row>
    <row r="711" spans="1:87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</row>
    <row r="712" spans="1:87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</row>
    <row r="713" spans="1:87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</row>
    <row r="714" spans="1:87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</row>
    <row r="715" spans="1:87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</row>
    <row r="716" spans="1:87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</row>
    <row r="717" spans="1:87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</row>
    <row r="718" spans="1:87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</row>
    <row r="719" spans="1:87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</row>
    <row r="720" spans="1:87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</row>
    <row r="721" spans="1:87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</row>
    <row r="722" spans="1:87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</row>
    <row r="723" spans="1:87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</row>
    <row r="724" spans="1:87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</row>
    <row r="725" spans="1:87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</row>
    <row r="726" spans="1:87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</row>
    <row r="727" spans="1:87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</row>
    <row r="728" spans="1:87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</row>
    <row r="729" spans="1:87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</row>
    <row r="730" spans="1:87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</row>
    <row r="731" spans="1:87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</row>
    <row r="732" spans="1:87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</row>
    <row r="733" spans="1:87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</row>
    <row r="734" spans="1:87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</row>
    <row r="735" spans="1:87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</row>
    <row r="736" spans="1:87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</row>
    <row r="737" spans="1:87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</row>
    <row r="738" spans="1:87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</row>
    <row r="739" spans="1:87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</row>
    <row r="740" spans="1:87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</row>
    <row r="741" spans="1:87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</row>
    <row r="742" spans="1:87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</row>
    <row r="743" spans="1:87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</row>
    <row r="744" spans="1:87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</row>
    <row r="745" spans="1:87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</row>
    <row r="746" spans="1:87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</row>
    <row r="747" spans="1:87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</row>
    <row r="748" spans="1:87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</row>
    <row r="749" spans="1:87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</row>
    <row r="750" spans="1:87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</row>
    <row r="751" spans="1:87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</row>
    <row r="752" spans="1:87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</row>
    <row r="753" spans="1:87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</row>
    <row r="754" spans="1:87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</row>
    <row r="755" spans="1:87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</row>
    <row r="756" spans="1:87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</row>
    <row r="757" spans="1:87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</row>
    <row r="758" spans="1:87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</row>
    <row r="759" spans="1:87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</row>
    <row r="760" spans="1:87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</row>
    <row r="761" spans="1:87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</row>
    <row r="762" spans="1:87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</row>
    <row r="763" spans="1:87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</row>
    <row r="764" spans="1:87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</row>
    <row r="765" spans="1:87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</row>
    <row r="766" spans="1:87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</row>
    <row r="767" spans="1:87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</row>
    <row r="768" spans="1:87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</row>
    <row r="769" spans="1:87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</row>
    <row r="770" spans="1:87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</row>
    <row r="771" spans="1:87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</row>
    <row r="772" spans="1:87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</row>
    <row r="773" spans="1:87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</row>
    <row r="774" spans="1:87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</row>
    <row r="775" spans="1:87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</row>
    <row r="776" spans="1:87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</row>
    <row r="777" spans="1:87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</row>
    <row r="778" spans="1:87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</row>
    <row r="779" spans="1:87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</row>
    <row r="780" spans="1:87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</row>
    <row r="781" spans="1:87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</row>
    <row r="782" spans="1:87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</row>
    <row r="783" spans="1:87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</row>
    <row r="784" spans="1:87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</row>
    <row r="785" spans="1:87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</row>
    <row r="786" spans="1:87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</row>
    <row r="787" spans="1:87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</row>
    <row r="788" spans="1:87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</row>
    <row r="789" spans="1:87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</row>
    <row r="790" spans="1:87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</row>
    <row r="791" spans="1:87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</row>
    <row r="792" spans="1:87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</row>
    <row r="793" spans="1:87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</row>
    <row r="794" spans="1:87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</row>
    <row r="795" spans="1:87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</row>
    <row r="796" spans="1:87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</row>
    <row r="797" spans="1:87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</row>
    <row r="798" spans="1:87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</row>
    <row r="799" spans="1:87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</row>
    <row r="800" spans="1:87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</row>
    <row r="801" spans="1:87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</row>
    <row r="802" spans="1:87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</row>
    <row r="803" spans="1:87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</row>
    <row r="804" spans="1:87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</row>
    <row r="805" spans="1:87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</row>
    <row r="806" spans="1:87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</row>
    <row r="807" spans="1:87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</row>
    <row r="808" spans="1:87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</row>
    <row r="809" spans="1:87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</row>
    <row r="810" spans="1:87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</row>
    <row r="811" spans="1:87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</row>
    <row r="812" spans="1:87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</row>
    <row r="813" spans="1:87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</row>
    <row r="814" spans="1:87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</row>
    <row r="815" spans="1:87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</row>
    <row r="816" spans="1:87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</row>
    <row r="817" spans="1:87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</row>
    <row r="818" spans="1:87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</row>
    <row r="819" spans="1:87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</row>
    <row r="820" spans="1:87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</row>
    <row r="821" spans="1:87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</row>
    <row r="822" spans="1:87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</row>
    <row r="823" spans="1:87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</row>
    <row r="824" spans="1:87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</row>
    <row r="825" spans="1:87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</row>
    <row r="826" spans="1:87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</row>
    <row r="827" spans="1:87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</row>
    <row r="828" spans="1:87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</row>
    <row r="829" spans="1:87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</row>
    <row r="830" spans="1:87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</row>
    <row r="831" spans="1:87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</row>
    <row r="832" spans="1:87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</row>
    <row r="833" spans="1:87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</row>
    <row r="834" spans="1:87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</row>
    <row r="835" spans="1:87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</row>
    <row r="836" spans="1:87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</row>
    <row r="837" spans="1:87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</row>
    <row r="838" spans="1:87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</row>
    <row r="839" spans="1:87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</row>
    <row r="840" spans="1:87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</row>
    <row r="841" spans="1:87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</row>
    <row r="842" spans="1:87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</row>
    <row r="843" spans="1:87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</row>
    <row r="844" spans="1:87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</row>
    <row r="845" spans="1:87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</row>
    <row r="846" spans="1:87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</row>
    <row r="847" spans="1:87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</row>
    <row r="848" spans="1:87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</row>
    <row r="849" spans="1:87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</row>
    <row r="850" spans="1:87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</row>
    <row r="851" spans="1:87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</row>
    <row r="852" spans="1:87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</row>
    <row r="853" spans="1:87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</row>
    <row r="854" spans="1:87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</row>
    <row r="855" spans="1:87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</row>
    <row r="856" spans="1:87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</row>
    <row r="857" spans="1:87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</row>
    <row r="858" spans="1:87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</row>
    <row r="859" spans="1:87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</row>
    <row r="860" spans="1:87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</row>
    <row r="861" spans="1:87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</row>
    <row r="862" spans="1:87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</row>
    <row r="863" spans="1:87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</row>
    <row r="864" spans="1:87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</row>
    <row r="865" spans="1:87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</row>
    <row r="866" spans="1:87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</row>
    <row r="867" spans="1:87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</row>
    <row r="868" spans="1:87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</row>
    <row r="869" spans="1:87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</row>
    <row r="870" spans="1:87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</row>
    <row r="871" spans="1:87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</row>
    <row r="872" spans="1:87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</row>
    <row r="873" spans="1:87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</row>
    <row r="874" spans="1:87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</row>
    <row r="875" spans="1:87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</row>
    <row r="876" spans="1:87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</row>
    <row r="877" spans="1:87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</row>
    <row r="878" spans="1:87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</row>
    <row r="879" spans="1:87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</row>
    <row r="880" spans="1:87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</row>
    <row r="881" spans="1:87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</row>
    <row r="882" spans="1:87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</row>
    <row r="883" spans="1:87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</row>
    <row r="884" spans="1:87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</row>
    <row r="885" spans="1:87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</row>
    <row r="886" spans="1:87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</row>
    <row r="887" spans="1:87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</row>
    <row r="888" spans="1:87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</row>
    <row r="889" spans="1:87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</row>
    <row r="890" spans="1:87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</row>
    <row r="891" spans="1:87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</row>
    <row r="892" spans="1:87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</row>
    <row r="893" spans="1:87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</row>
    <row r="894" spans="1:87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</row>
    <row r="895" spans="1:87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</row>
    <row r="896" spans="1:87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</row>
    <row r="897" spans="1:87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</row>
    <row r="898" spans="1:87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</row>
    <row r="899" spans="1:87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</row>
    <row r="900" spans="1:87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</row>
    <row r="901" spans="1:87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</row>
    <row r="902" spans="1:87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</row>
    <row r="903" spans="1:87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</row>
    <row r="904" spans="1:87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</row>
    <row r="905" spans="1:87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</row>
    <row r="906" spans="1:87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</row>
    <row r="907" spans="1:87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</row>
    <row r="908" spans="1:87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</row>
    <row r="909" spans="1:87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</row>
    <row r="910" spans="1:87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</row>
    <row r="911" spans="1:87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</row>
    <row r="912" spans="1:87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</row>
    <row r="913" spans="1:87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</row>
    <row r="914" spans="1:87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</row>
    <row r="915" spans="1:87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</row>
    <row r="916" spans="1:87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</row>
    <row r="917" spans="1:87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</row>
    <row r="918" spans="1:87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</row>
    <row r="919" spans="1:87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</row>
    <row r="920" spans="1:87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</row>
    <row r="921" spans="1:87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</row>
    <row r="922" spans="1:87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</row>
    <row r="923" spans="1:87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</row>
    <row r="924" spans="1:87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</row>
    <row r="925" spans="1:87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</row>
    <row r="926" spans="1:87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</row>
    <row r="927" spans="1:87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</row>
    <row r="928" spans="1:87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</row>
    <row r="929" spans="1:87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</row>
    <row r="930" spans="1:87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</row>
    <row r="931" spans="1:87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</row>
    <row r="932" spans="1:87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</row>
    <row r="933" spans="1:87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</row>
    <row r="934" spans="1:87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</row>
    <row r="935" spans="1:87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</row>
    <row r="936" spans="1:87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</row>
    <row r="937" spans="1:87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</row>
    <row r="938" spans="1:87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</row>
    <row r="939" spans="1:87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</row>
    <row r="940" spans="1:87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</row>
    <row r="941" spans="1:87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</row>
    <row r="942" spans="1:87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</row>
    <row r="943" spans="1:87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</row>
    <row r="944" spans="1:87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</row>
    <row r="945" spans="1:87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</row>
    <row r="946" spans="1:87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</row>
    <row r="947" spans="1:87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</row>
    <row r="948" spans="1:87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</row>
    <row r="949" spans="1:87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</row>
    <row r="950" spans="1:87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</row>
    <row r="951" spans="1:87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</row>
    <row r="952" spans="1:87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</row>
    <row r="953" spans="1:87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</row>
    <row r="954" spans="1:87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</row>
    <row r="955" spans="1:87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</row>
    <row r="956" spans="1:87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</row>
    <row r="957" spans="1:87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</row>
    <row r="958" spans="1:87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</row>
    <row r="959" spans="1:87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</row>
    <row r="960" spans="1:87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</row>
    <row r="961" spans="1:87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</row>
    <row r="962" spans="1:87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</row>
    <row r="963" spans="1:87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</row>
    <row r="964" spans="1:87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</row>
    <row r="965" spans="1:87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</row>
    <row r="966" spans="1:87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</row>
    <row r="967" spans="1:87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</row>
    <row r="968" spans="1:87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</row>
    <row r="969" spans="1:87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</row>
    <row r="970" spans="1:87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</row>
    <row r="971" spans="1:87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</row>
    <row r="972" spans="1:87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</row>
    <row r="973" spans="1:87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</row>
    <row r="974" spans="1:87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</row>
    <row r="975" spans="1:87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</row>
    <row r="976" spans="1:87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</row>
    <row r="977" spans="1:87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</row>
    <row r="978" spans="1:87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</row>
    <row r="979" spans="1:87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</row>
    <row r="980" spans="1:87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</row>
    <row r="981" spans="1:87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</row>
    <row r="982" spans="1:87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</row>
    <row r="983" spans="1:87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</row>
    <row r="984" spans="1:87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</row>
    <row r="985" spans="1:87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</row>
    <row r="986" spans="1:87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</row>
    <row r="987" spans="1:87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</row>
    <row r="988" spans="1:87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</row>
    <row r="989" spans="1:87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</row>
    <row r="990" spans="1:87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</row>
    <row r="991" spans="1:87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</row>
    <row r="992" spans="1:87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</row>
    <row r="993" spans="1:87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</row>
    <row r="994" spans="1:87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</row>
    <row r="995" spans="1:87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</row>
    <row r="996" spans="1:87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</row>
    <row r="997" spans="1:87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</row>
    <row r="998" spans="1:87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</row>
    <row r="999" spans="1:87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</row>
    <row r="1000" spans="1:87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</row>
    <row r="1001" spans="1:87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</row>
    <row r="1002" spans="1:87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</row>
    <row r="1003" spans="1:87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</row>
    <row r="1004" spans="1:87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</row>
    <row r="1005" spans="1:87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</row>
    <row r="1006" spans="1:87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</row>
    <row r="1007" spans="1:87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</row>
    <row r="1008" spans="1:87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</row>
    <row r="1009" spans="1:87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</row>
    <row r="1010" spans="1:87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</row>
    <row r="1011" spans="1:87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</row>
    <row r="1012" spans="1:87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</row>
    <row r="1013" spans="1:87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</row>
    <row r="1014" spans="1:87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</row>
    <row r="1015" spans="1:87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</row>
    <row r="1016" spans="1:87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</row>
    <row r="1017" spans="1:87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</row>
    <row r="1018" spans="1:87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</row>
    <row r="1019" spans="1:87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</row>
    <row r="1020" spans="1:87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</row>
    <row r="1021" spans="1:87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</row>
    <row r="1022" spans="1:87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</row>
    <row r="1023" spans="1:87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</row>
    <row r="1024" spans="1:87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</row>
    <row r="1025" spans="1:87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</row>
    <row r="1026" spans="1:87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</row>
    <row r="1027" spans="1:87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</row>
    <row r="1028" spans="1:87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</row>
    <row r="1029" spans="1:87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</row>
    <row r="1030" spans="1:87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</row>
    <row r="1031" spans="1:87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</row>
    <row r="1032" spans="1:87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</row>
    <row r="1033" spans="1:87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</row>
    <row r="1034" spans="1:87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</row>
    <row r="1035" spans="1:87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</row>
    <row r="1036" spans="1:87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</row>
    <row r="1037" spans="1:87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</row>
    <row r="1038" spans="1:87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</row>
    <row r="1039" spans="1:87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</row>
    <row r="1040" spans="1:87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</row>
    <row r="1041" spans="1:87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</row>
    <row r="1042" spans="1:87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</row>
    <row r="1043" spans="1:87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</row>
    <row r="1044" spans="1:87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</row>
    <row r="1045" spans="1:87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</row>
    <row r="1046" spans="1:87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</row>
    <row r="1047" spans="1:87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</row>
    <row r="1048" spans="1:87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</row>
    <row r="1049" spans="1:87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</row>
    <row r="1050" spans="1:87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</row>
    <row r="1051" spans="1:87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</row>
    <row r="1052" spans="1:87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</row>
    <row r="1053" spans="1:87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</row>
    <row r="1054" spans="1:87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</row>
    <row r="1055" spans="1:87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</row>
    <row r="1056" spans="1:87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</row>
    <row r="1057" spans="1:87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</row>
    <row r="1058" spans="1:87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</row>
    <row r="1059" spans="1:87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</row>
    <row r="1060" spans="1:87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</row>
    <row r="1061" spans="1:87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</row>
    <row r="1062" spans="1:87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</row>
    <row r="1063" spans="1:87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</row>
    <row r="1064" spans="1:87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</row>
    <row r="1065" spans="1:87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</row>
    <row r="1066" spans="1:87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</row>
    <row r="1067" spans="1:87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</row>
    <row r="1068" spans="1:87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</row>
    <row r="1069" spans="1:87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</row>
    <row r="1070" spans="1:87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</row>
    <row r="1071" spans="1:87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</row>
    <row r="1072" spans="1:87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</row>
    <row r="1073" spans="1:87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</row>
    <row r="1074" spans="1:87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</row>
    <row r="1075" spans="1:87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</row>
    <row r="1076" spans="1:87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</row>
    <row r="1077" spans="1:87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</row>
    <row r="1078" spans="1:87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</row>
    <row r="1079" spans="1:87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</row>
    <row r="1080" spans="1:87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</row>
    <row r="1081" spans="1:87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</row>
    <row r="1082" spans="1:87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</row>
    <row r="1083" spans="1:87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</row>
    <row r="1084" spans="1:87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</row>
    <row r="1085" spans="1:87" x14ac:dyDescent="0.2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</row>
    <row r="1086" spans="1:87" x14ac:dyDescent="0.2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</row>
    <row r="1087" spans="1:87" x14ac:dyDescent="0.2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</row>
    <row r="1088" spans="1:87" x14ac:dyDescent="0.2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</row>
    <row r="1089" spans="1:87" x14ac:dyDescent="0.2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</row>
    <row r="1090" spans="1:87" x14ac:dyDescent="0.2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</row>
    <row r="1091" spans="1:87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</row>
    <row r="1092" spans="1:87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</row>
    <row r="1093" spans="1:87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</row>
    <row r="1094" spans="1:87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</row>
    <row r="1095" spans="1:87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</row>
    <row r="1096" spans="1:87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</row>
    <row r="1097" spans="1:87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</row>
    <row r="1098" spans="1:87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</row>
    <row r="1099" spans="1:87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</row>
    <row r="1100" spans="1:87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</row>
    <row r="1101" spans="1:87" x14ac:dyDescent="0.2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</row>
    <row r="1102" spans="1:87" x14ac:dyDescent="0.2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</row>
    <row r="1103" spans="1:87" x14ac:dyDescent="0.2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</row>
    <row r="1104" spans="1:87" x14ac:dyDescent="0.2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</row>
    <row r="1105" spans="1:87" x14ac:dyDescent="0.2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</row>
    <row r="1106" spans="1:87" x14ac:dyDescent="0.2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</row>
    <row r="1107" spans="1:87" x14ac:dyDescent="0.2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</row>
    <row r="1108" spans="1:87" x14ac:dyDescent="0.2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</row>
    <row r="1109" spans="1:87" x14ac:dyDescent="0.2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</row>
    <row r="1110" spans="1:87" x14ac:dyDescent="0.2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</row>
    <row r="1111" spans="1:87" x14ac:dyDescent="0.2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</row>
    <row r="1112" spans="1:87" x14ac:dyDescent="0.2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</row>
    <row r="1113" spans="1:87" x14ac:dyDescent="0.2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</row>
    <row r="1114" spans="1:87" x14ac:dyDescent="0.2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</row>
    <row r="1115" spans="1:87" x14ac:dyDescent="0.2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</row>
    <row r="1116" spans="1:87" x14ac:dyDescent="0.2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</row>
    <row r="1117" spans="1:87" x14ac:dyDescent="0.2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</row>
    <row r="1118" spans="1:87" x14ac:dyDescent="0.2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</row>
    <row r="1119" spans="1:87" x14ac:dyDescent="0.2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</row>
    <row r="1120" spans="1:87" x14ac:dyDescent="0.2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</row>
    <row r="1121" spans="1:87" x14ac:dyDescent="0.2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</row>
    <row r="1122" spans="1:87" x14ac:dyDescent="0.2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</row>
    <row r="1123" spans="1:87" x14ac:dyDescent="0.2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</row>
    <row r="1124" spans="1:87" x14ac:dyDescent="0.2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</row>
    <row r="1125" spans="1:87" x14ac:dyDescent="0.2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</row>
    <row r="1126" spans="1:87" x14ac:dyDescent="0.2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</row>
    <row r="1127" spans="1:87" x14ac:dyDescent="0.2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</row>
    <row r="1128" spans="1:87" x14ac:dyDescent="0.2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</row>
    <row r="1129" spans="1:87" x14ac:dyDescent="0.2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</row>
    <row r="1130" spans="1:87" x14ac:dyDescent="0.2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</row>
    <row r="1131" spans="1:87" x14ac:dyDescent="0.2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</row>
    <row r="1132" spans="1:87" x14ac:dyDescent="0.2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</row>
    <row r="1133" spans="1:87" x14ac:dyDescent="0.2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</row>
    <row r="1134" spans="1:87" x14ac:dyDescent="0.2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</row>
    <row r="1135" spans="1:87" x14ac:dyDescent="0.2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</row>
    <row r="1136" spans="1:87" x14ac:dyDescent="0.2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</row>
    <row r="1137" spans="1:87" x14ac:dyDescent="0.2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</row>
    <row r="1138" spans="1:87" x14ac:dyDescent="0.2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</row>
    <row r="1139" spans="1:87" x14ac:dyDescent="0.2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</row>
    <row r="1140" spans="1:87" x14ac:dyDescent="0.2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</row>
    <row r="1141" spans="1:87" x14ac:dyDescent="0.2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</row>
    <row r="1142" spans="1:87" x14ac:dyDescent="0.2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</row>
    <row r="1143" spans="1:87" x14ac:dyDescent="0.2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</row>
    <row r="1144" spans="1:87" x14ac:dyDescent="0.2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</row>
    <row r="1145" spans="1:87" x14ac:dyDescent="0.2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</row>
    <row r="1146" spans="1:87" x14ac:dyDescent="0.2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</row>
    <row r="1147" spans="1:87" x14ac:dyDescent="0.2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</row>
    <row r="1148" spans="1:87" x14ac:dyDescent="0.2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</row>
    <row r="1149" spans="1:87" x14ac:dyDescent="0.2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</row>
    <row r="1150" spans="1:87" x14ac:dyDescent="0.2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</row>
    <row r="1151" spans="1:87" x14ac:dyDescent="0.2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</row>
    <row r="1152" spans="1:87" x14ac:dyDescent="0.2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</row>
    <row r="1153" spans="1:87" x14ac:dyDescent="0.2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</row>
    <row r="1154" spans="1:87" x14ac:dyDescent="0.2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</row>
    <row r="1155" spans="1:87" x14ac:dyDescent="0.2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</row>
    <row r="1156" spans="1:87" x14ac:dyDescent="0.2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</row>
    <row r="1157" spans="1:87" x14ac:dyDescent="0.2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</row>
    <row r="1158" spans="1:87" x14ac:dyDescent="0.2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</row>
    <row r="1159" spans="1:87" x14ac:dyDescent="0.2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</row>
    <row r="1160" spans="1:87" x14ac:dyDescent="0.2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</row>
    <row r="1161" spans="1:87" x14ac:dyDescent="0.2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</row>
    <row r="1162" spans="1:87" x14ac:dyDescent="0.2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</row>
    <row r="1163" spans="1:87" x14ac:dyDescent="0.2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</row>
    <row r="1164" spans="1:87" x14ac:dyDescent="0.2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</row>
    <row r="1165" spans="1:87" x14ac:dyDescent="0.2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</row>
    <row r="1166" spans="1:87" x14ac:dyDescent="0.2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</row>
    <row r="1167" spans="1:87" x14ac:dyDescent="0.2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</row>
    <row r="1168" spans="1:87" x14ac:dyDescent="0.2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</row>
    <row r="1169" spans="1:87" x14ac:dyDescent="0.2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</row>
    <row r="1170" spans="1:87" x14ac:dyDescent="0.2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</row>
    <row r="1171" spans="1:87" x14ac:dyDescent="0.2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</row>
    <row r="1172" spans="1:87" x14ac:dyDescent="0.2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</row>
    <row r="1173" spans="1:87" x14ac:dyDescent="0.2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</row>
    <row r="1174" spans="1:87" x14ac:dyDescent="0.2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</row>
    <row r="1175" spans="1:87" x14ac:dyDescent="0.2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</row>
    <row r="1176" spans="1:87" x14ac:dyDescent="0.2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</row>
    <row r="1177" spans="1:87" x14ac:dyDescent="0.2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</row>
    <row r="1178" spans="1:87" x14ac:dyDescent="0.2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</row>
    <row r="1179" spans="1:87" x14ac:dyDescent="0.2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</row>
    <row r="1180" spans="1:87" x14ac:dyDescent="0.2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</row>
    <row r="1181" spans="1:87" x14ac:dyDescent="0.2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</row>
    <row r="1182" spans="1:87" x14ac:dyDescent="0.2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</row>
    <row r="1183" spans="1:87" x14ac:dyDescent="0.2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</row>
    <row r="1184" spans="1:87" x14ac:dyDescent="0.2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</row>
    <row r="1185" spans="1:87" x14ac:dyDescent="0.2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</row>
    <row r="1186" spans="1:87" x14ac:dyDescent="0.2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</row>
    <row r="1187" spans="1:87" x14ac:dyDescent="0.2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</row>
    <row r="1188" spans="1:87" x14ac:dyDescent="0.2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</row>
    <row r="1189" spans="1:87" x14ac:dyDescent="0.2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</row>
    <row r="1190" spans="1:87" x14ac:dyDescent="0.2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</row>
    <row r="1191" spans="1:87" x14ac:dyDescent="0.2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</row>
    <row r="1192" spans="1:87" x14ac:dyDescent="0.2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</row>
    <row r="1193" spans="1:87" x14ac:dyDescent="0.2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</row>
    <row r="1194" spans="1:87" x14ac:dyDescent="0.2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</row>
    <row r="1195" spans="1:87" x14ac:dyDescent="0.2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</row>
    <row r="1196" spans="1:87" x14ac:dyDescent="0.2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</row>
    <row r="1197" spans="1:87" x14ac:dyDescent="0.2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</row>
    <row r="1198" spans="1:87" x14ac:dyDescent="0.2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</row>
    <row r="1199" spans="1:87" x14ac:dyDescent="0.2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</row>
    <row r="1200" spans="1:87" x14ac:dyDescent="0.2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</row>
    <row r="1201" spans="1:87" x14ac:dyDescent="0.2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</row>
    <row r="1202" spans="1:87" x14ac:dyDescent="0.2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</row>
    <row r="1203" spans="1:87" x14ac:dyDescent="0.2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</row>
    <row r="1204" spans="1:87" x14ac:dyDescent="0.2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</row>
    <row r="1205" spans="1:87" x14ac:dyDescent="0.2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</row>
    <row r="1206" spans="1:87" x14ac:dyDescent="0.2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</row>
    <row r="1207" spans="1:87" x14ac:dyDescent="0.2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</row>
    <row r="1208" spans="1:87" x14ac:dyDescent="0.2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</row>
    <row r="1209" spans="1:87" x14ac:dyDescent="0.2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</row>
    <row r="1210" spans="1:87" x14ac:dyDescent="0.2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</row>
    <row r="1211" spans="1:87" x14ac:dyDescent="0.2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</row>
    <row r="1212" spans="1:87" x14ac:dyDescent="0.2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</row>
    <row r="1213" spans="1:87" x14ac:dyDescent="0.2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</row>
    <row r="1214" spans="1:87" x14ac:dyDescent="0.2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</row>
    <row r="1215" spans="1:87" x14ac:dyDescent="0.2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</row>
    <row r="1216" spans="1:87" x14ac:dyDescent="0.2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</row>
    <row r="1217" spans="1:87" x14ac:dyDescent="0.2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</row>
    <row r="1218" spans="1:87" x14ac:dyDescent="0.2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</row>
    <row r="1219" spans="1:87" x14ac:dyDescent="0.2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</row>
    <row r="1220" spans="1:87" x14ac:dyDescent="0.2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</row>
    <row r="1221" spans="1:87" x14ac:dyDescent="0.2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</row>
    <row r="1222" spans="1:87" x14ac:dyDescent="0.2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</row>
    <row r="1223" spans="1:87" x14ac:dyDescent="0.2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</row>
    <row r="1224" spans="1:87" x14ac:dyDescent="0.2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</row>
    <row r="1225" spans="1:87" x14ac:dyDescent="0.2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</row>
    <row r="1226" spans="1:87" x14ac:dyDescent="0.2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</row>
    <row r="1227" spans="1:87" x14ac:dyDescent="0.2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</row>
    <row r="1228" spans="1:87" x14ac:dyDescent="0.2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</row>
    <row r="1229" spans="1:87" x14ac:dyDescent="0.2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</row>
    <row r="1230" spans="1:87" x14ac:dyDescent="0.2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</row>
    <row r="1231" spans="1:87" x14ac:dyDescent="0.2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</row>
    <row r="1232" spans="1:87" x14ac:dyDescent="0.2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</row>
    <row r="1233" spans="1:87" x14ac:dyDescent="0.2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</row>
    <row r="1234" spans="1:87" x14ac:dyDescent="0.2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</row>
    <row r="1235" spans="1:87" x14ac:dyDescent="0.2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</row>
    <row r="1236" spans="1:87" x14ac:dyDescent="0.2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</row>
    <row r="1237" spans="1:87" x14ac:dyDescent="0.2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</row>
    <row r="1238" spans="1:87" x14ac:dyDescent="0.2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</row>
    <row r="1239" spans="1:87" x14ac:dyDescent="0.2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</row>
    <row r="1240" spans="1:87" x14ac:dyDescent="0.2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</row>
    <row r="1241" spans="1:87" x14ac:dyDescent="0.2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</row>
    <row r="1242" spans="1:87" x14ac:dyDescent="0.2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</row>
    <row r="1243" spans="1:87" x14ac:dyDescent="0.2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</row>
    <row r="1244" spans="1:87" x14ac:dyDescent="0.2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</row>
    <row r="1245" spans="1:87" x14ac:dyDescent="0.2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</row>
    <row r="1246" spans="1:87" x14ac:dyDescent="0.2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</row>
    <row r="1247" spans="1:87" x14ac:dyDescent="0.2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</row>
    <row r="1248" spans="1:87" x14ac:dyDescent="0.2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1"/>
      <c r="CE1248" s="1"/>
      <c r="CF1248" s="1"/>
      <c r="CG1248" s="1"/>
      <c r="CH1248" s="1"/>
      <c r="CI1248" s="1"/>
    </row>
    <row r="1249" spans="1:87" x14ac:dyDescent="0.2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1"/>
      <c r="CE1249" s="1"/>
      <c r="CF1249" s="1"/>
      <c r="CG1249" s="1"/>
      <c r="CH1249" s="1"/>
      <c r="CI1249" s="1"/>
    </row>
    <row r="1250" spans="1:87" x14ac:dyDescent="0.2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1"/>
      <c r="CE1250" s="1"/>
      <c r="CF1250" s="1"/>
      <c r="CG1250" s="1"/>
      <c r="CH1250" s="1"/>
      <c r="CI1250" s="1"/>
    </row>
    <row r="1251" spans="1:87" x14ac:dyDescent="0.2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1"/>
      <c r="CE1251" s="1"/>
      <c r="CF1251" s="1"/>
      <c r="CG1251" s="1"/>
      <c r="CH1251" s="1"/>
      <c r="CI1251" s="1"/>
    </row>
    <row r="1252" spans="1:87" x14ac:dyDescent="0.2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1"/>
      <c r="CE1252" s="1"/>
      <c r="CF1252" s="1"/>
      <c r="CG1252" s="1"/>
      <c r="CH1252" s="1"/>
      <c r="CI1252" s="1"/>
    </row>
    <row r="1253" spans="1:87" x14ac:dyDescent="0.2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1"/>
      <c r="CE1253" s="1"/>
      <c r="CF1253" s="1"/>
      <c r="CG1253" s="1"/>
      <c r="CH1253" s="1"/>
      <c r="CI1253" s="1"/>
    </row>
    <row r="1254" spans="1:87" x14ac:dyDescent="0.2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1"/>
      <c r="CE1254" s="1"/>
      <c r="CF1254" s="1"/>
      <c r="CG1254" s="1"/>
      <c r="CH1254" s="1"/>
      <c r="CI1254" s="1"/>
    </row>
    <row r="1255" spans="1:87" x14ac:dyDescent="0.2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1"/>
      <c r="CE1255" s="1"/>
      <c r="CF1255" s="1"/>
      <c r="CG1255" s="1"/>
      <c r="CH1255" s="1"/>
      <c r="CI1255" s="1"/>
    </row>
    <row r="1256" spans="1:87" x14ac:dyDescent="0.2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1"/>
      <c r="CE1256" s="1"/>
      <c r="CF1256" s="1"/>
      <c r="CG1256" s="1"/>
      <c r="CH1256" s="1"/>
      <c r="CI1256" s="1"/>
    </row>
    <row r="1257" spans="1:87" x14ac:dyDescent="0.2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1"/>
      <c r="CE1257" s="1"/>
      <c r="CF1257" s="1"/>
      <c r="CG1257" s="1"/>
      <c r="CH1257" s="1"/>
      <c r="CI1257" s="1"/>
    </row>
    <row r="1258" spans="1:87" x14ac:dyDescent="0.2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1"/>
      <c r="CE1258" s="1"/>
      <c r="CF1258" s="1"/>
      <c r="CG1258" s="1"/>
      <c r="CH1258" s="1"/>
      <c r="CI1258" s="1"/>
    </row>
    <row r="1259" spans="1:87" x14ac:dyDescent="0.2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1"/>
      <c r="CE1259" s="1"/>
      <c r="CF1259" s="1"/>
      <c r="CG1259" s="1"/>
      <c r="CH1259" s="1"/>
      <c r="CI1259" s="1"/>
    </row>
    <row r="1260" spans="1:87" x14ac:dyDescent="0.2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  <c r="BN1260" s="1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1"/>
      <c r="CE1260" s="1"/>
      <c r="CF1260" s="1"/>
      <c r="CG1260" s="1"/>
      <c r="CH1260" s="1"/>
      <c r="CI1260" s="1"/>
    </row>
    <row r="1261" spans="1:87" x14ac:dyDescent="0.2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  <c r="BN1261" s="1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1"/>
      <c r="CE1261" s="1"/>
      <c r="CF1261" s="1"/>
      <c r="CG1261" s="1"/>
      <c r="CH1261" s="1"/>
      <c r="CI1261" s="1"/>
    </row>
    <row r="1262" spans="1:87" x14ac:dyDescent="0.2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  <c r="BN1262" s="1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1"/>
      <c r="CE1262" s="1"/>
      <c r="CF1262" s="1"/>
      <c r="CG1262" s="1"/>
      <c r="CH1262" s="1"/>
      <c r="CI1262" s="1"/>
    </row>
    <row r="1263" spans="1:87" x14ac:dyDescent="0.2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  <c r="BN1263" s="1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1"/>
      <c r="CE1263" s="1"/>
      <c r="CF1263" s="1"/>
      <c r="CG1263" s="1"/>
      <c r="CH1263" s="1"/>
      <c r="CI1263" s="1"/>
    </row>
    <row r="1264" spans="1:87" x14ac:dyDescent="0.2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1"/>
      <c r="CE1264" s="1"/>
      <c r="CF1264" s="1"/>
      <c r="CG1264" s="1"/>
      <c r="CH1264" s="1"/>
      <c r="CI1264" s="1"/>
    </row>
    <row r="1265" spans="1:87" x14ac:dyDescent="0.2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1"/>
      <c r="CE1265" s="1"/>
      <c r="CF1265" s="1"/>
      <c r="CG1265" s="1"/>
      <c r="CH1265" s="1"/>
      <c r="CI1265" s="1"/>
    </row>
    <row r="1266" spans="1:87" x14ac:dyDescent="0.2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1"/>
      <c r="CE1266" s="1"/>
      <c r="CF1266" s="1"/>
      <c r="CG1266" s="1"/>
      <c r="CH1266" s="1"/>
      <c r="CI1266" s="1"/>
    </row>
    <row r="1267" spans="1:87" x14ac:dyDescent="0.2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1"/>
      <c r="CE1267" s="1"/>
      <c r="CF1267" s="1"/>
      <c r="CG1267" s="1"/>
      <c r="CH1267" s="1"/>
      <c r="CI1267" s="1"/>
    </row>
    <row r="1268" spans="1:87" x14ac:dyDescent="0.2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1"/>
      <c r="CE1268" s="1"/>
      <c r="CF1268" s="1"/>
      <c r="CG1268" s="1"/>
      <c r="CH1268" s="1"/>
      <c r="CI1268" s="1"/>
    </row>
    <row r="1269" spans="1:87" x14ac:dyDescent="0.2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1"/>
      <c r="CE1269" s="1"/>
      <c r="CF1269" s="1"/>
      <c r="CG1269" s="1"/>
      <c r="CH1269" s="1"/>
      <c r="CI1269" s="1"/>
    </row>
    <row r="1270" spans="1:87" x14ac:dyDescent="0.2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1"/>
      <c r="CE1270" s="1"/>
      <c r="CF1270" s="1"/>
      <c r="CG1270" s="1"/>
      <c r="CH1270" s="1"/>
      <c r="CI1270" s="1"/>
    </row>
    <row r="1271" spans="1:87" x14ac:dyDescent="0.2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1"/>
      <c r="CE1271" s="1"/>
      <c r="CF1271" s="1"/>
      <c r="CG1271" s="1"/>
      <c r="CH1271" s="1"/>
      <c r="CI1271" s="1"/>
    </row>
    <row r="1272" spans="1:87" x14ac:dyDescent="0.2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1"/>
      <c r="CE1272" s="1"/>
      <c r="CF1272" s="1"/>
      <c r="CG1272" s="1"/>
      <c r="CH1272" s="1"/>
      <c r="CI1272" s="1"/>
    </row>
    <row r="1273" spans="1:87" x14ac:dyDescent="0.2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  <c r="BN1273" s="1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1"/>
      <c r="CE1273" s="1"/>
      <c r="CF1273" s="1"/>
      <c r="CG1273" s="1"/>
      <c r="CH1273" s="1"/>
      <c r="CI1273" s="1"/>
    </row>
    <row r="1274" spans="1:87" x14ac:dyDescent="0.2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  <c r="BN1274" s="1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1"/>
      <c r="CE1274" s="1"/>
      <c r="CF1274" s="1"/>
      <c r="CG1274" s="1"/>
      <c r="CH1274" s="1"/>
      <c r="CI1274" s="1"/>
    </row>
    <row r="1275" spans="1:87" x14ac:dyDescent="0.2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  <c r="BN1275" s="1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1"/>
      <c r="CE1275" s="1"/>
      <c r="CF1275" s="1"/>
      <c r="CG1275" s="1"/>
      <c r="CH1275" s="1"/>
      <c r="CI1275" s="1"/>
    </row>
    <row r="1276" spans="1:87" x14ac:dyDescent="0.2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1"/>
      <c r="CE1276" s="1"/>
      <c r="CF1276" s="1"/>
      <c r="CG1276" s="1"/>
      <c r="CH1276" s="1"/>
      <c r="CI1276" s="1"/>
    </row>
    <row r="1277" spans="1:87" x14ac:dyDescent="0.2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1"/>
      <c r="CE1277" s="1"/>
      <c r="CF1277" s="1"/>
      <c r="CG1277" s="1"/>
      <c r="CH1277" s="1"/>
      <c r="CI1277" s="1"/>
    </row>
    <row r="1278" spans="1:87" x14ac:dyDescent="0.2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1"/>
      <c r="CE1278" s="1"/>
      <c r="CF1278" s="1"/>
      <c r="CG1278" s="1"/>
      <c r="CH1278" s="1"/>
      <c r="CI1278" s="1"/>
    </row>
    <row r="1279" spans="1:87" x14ac:dyDescent="0.2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1"/>
      <c r="CE1279" s="1"/>
      <c r="CF1279" s="1"/>
      <c r="CG1279" s="1"/>
      <c r="CH1279" s="1"/>
      <c r="CI1279" s="1"/>
    </row>
    <row r="1280" spans="1:87" x14ac:dyDescent="0.2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1"/>
      <c r="CE1280" s="1"/>
      <c r="CF1280" s="1"/>
      <c r="CG1280" s="1"/>
      <c r="CH1280" s="1"/>
      <c r="CI1280" s="1"/>
    </row>
    <row r="1281" spans="1:87" x14ac:dyDescent="0.2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1"/>
      <c r="CE1281" s="1"/>
      <c r="CF1281" s="1"/>
      <c r="CG1281" s="1"/>
      <c r="CH1281" s="1"/>
      <c r="CI1281" s="1"/>
    </row>
    <row r="1282" spans="1:87" x14ac:dyDescent="0.2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1"/>
      <c r="CE1282" s="1"/>
      <c r="CF1282" s="1"/>
      <c r="CG1282" s="1"/>
      <c r="CH1282" s="1"/>
      <c r="CI1282" s="1"/>
    </row>
    <row r="1283" spans="1:87" x14ac:dyDescent="0.2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  <c r="BN1283" s="1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1"/>
      <c r="CE1283" s="1"/>
      <c r="CF1283" s="1"/>
      <c r="CG1283" s="1"/>
      <c r="CH1283" s="1"/>
      <c r="CI1283" s="1"/>
    </row>
    <row r="1284" spans="1:87" x14ac:dyDescent="0.2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1"/>
      <c r="CE1284" s="1"/>
      <c r="CF1284" s="1"/>
      <c r="CG1284" s="1"/>
      <c r="CH1284" s="1"/>
      <c r="CI1284" s="1"/>
    </row>
    <row r="1285" spans="1:87" x14ac:dyDescent="0.2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1"/>
      <c r="CE1285" s="1"/>
      <c r="CF1285" s="1"/>
      <c r="CG1285" s="1"/>
      <c r="CH1285" s="1"/>
      <c r="CI1285" s="1"/>
    </row>
    <row r="1286" spans="1:87" x14ac:dyDescent="0.2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1"/>
      <c r="CE1286" s="1"/>
      <c r="CF1286" s="1"/>
      <c r="CG1286" s="1"/>
      <c r="CH1286" s="1"/>
      <c r="CI1286" s="1"/>
    </row>
    <row r="1287" spans="1:87" x14ac:dyDescent="0.2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1"/>
      <c r="CE1287" s="1"/>
      <c r="CF1287" s="1"/>
      <c r="CG1287" s="1"/>
      <c r="CH1287" s="1"/>
      <c r="CI1287" s="1"/>
    </row>
    <row r="1288" spans="1:87" x14ac:dyDescent="0.2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1"/>
      <c r="CE1288" s="1"/>
      <c r="CF1288" s="1"/>
      <c r="CG1288" s="1"/>
      <c r="CH1288" s="1"/>
      <c r="CI1288" s="1"/>
    </row>
    <row r="1289" spans="1:87" x14ac:dyDescent="0.2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1"/>
      <c r="CE1289" s="1"/>
      <c r="CF1289" s="1"/>
      <c r="CG1289" s="1"/>
      <c r="CH1289" s="1"/>
      <c r="CI1289" s="1"/>
    </row>
    <row r="1290" spans="1:87" x14ac:dyDescent="0.2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1"/>
      <c r="CE1290" s="1"/>
      <c r="CF1290" s="1"/>
      <c r="CG1290" s="1"/>
      <c r="CH1290" s="1"/>
      <c r="CI1290" s="1"/>
    </row>
    <row r="1291" spans="1:87" x14ac:dyDescent="0.2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1"/>
      <c r="CE1291" s="1"/>
      <c r="CF1291" s="1"/>
      <c r="CG1291" s="1"/>
      <c r="CH1291" s="1"/>
      <c r="CI1291" s="1"/>
    </row>
    <row r="1292" spans="1:87" x14ac:dyDescent="0.2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1"/>
      <c r="CE1292" s="1"/>
      <c r="CF1292" s="1"/>
      <c r="CG1292" s="1"/>
      <c r="CH1292" s="1"/>
      <c r="CI1292" s="1"/>
    </row>
    <row r="1293" spans="1:87" x14ac:dyDescent="0.2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1"/>
      <c r="CE1293" s="1"/>
      <c r="CF1293" s="1"/>
      <c r="CG1293" s="1"/>
      <c r="CH1293" s="1"/>
      <c r="CI1293" s="1"/>
    </row>
    <row r="1294" spans="1:87" x14ac:dyDescent="0.2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1"/>
      <c r="CE1294" s="1"/>
      <c r="CF1294" s="1"/>
      <c r="CG1294" s="1"/>
      <c r="CH1294" s="1"/>
      <c r="CI1294" s="1"/>
    </row>
    <row r="1295" spans="1:87" x14ac:dyDescent="0.2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1"/>
      <c r="CE1295" s="1"/>
      <c r="CF1295" s="1"/>
      <c r="CG1295" s="1"/>
      <c r="CH1295" s="1"/>
      <c r="CI1295" s="1"/>
    </row>
    <row r="1296" spans="1:87" x14ac:dyDescent="0.2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1"/>
      <c r="CE1296" s="1"/>
      <c r="CF1296" s="1"/>
      <c r="CG1296" s="1"/>
      <c r="CH1296" s="1"/>
      <c r="CI1296" s="1"/>
    </row>
    <row r="1297" spans="1:87" x14ac:dyDescent="0.2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1"/>
      <c r="CE1297" s="1"/>
      <c r="CF1297" s="1"/>
      <c r="CG1297" s="1"/>
      <c r="CH1297" s="1"/>
      <c r="CI1297" s="1"/>
    </row>
    <row r="1298" spans="1:87" x14ac:dyDescent="0.2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1"/>
      <c r="CE1298" s="1"/>
      <c r="CF1298" s="1"/>
      <c r="CG1298" s="1"/>
      <c r="CH1298" s="1"/>
      <c r="CI1298" s="1"/>
    </row>
    <row r="1299" spans="1:87" x14ac:dyDescent="0.2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1"/>
      <c r="CE1299" s="1"/>
      <c r="CF1299" s="1"/>
      <c r="CG1299" s="1"/>
      <c r="CH1299" s="1"/>
      <c r="CI1299" s="1"/>
    </row>
    <row r="1300" spans="1:87" x14ac:dyDescent="0.2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1"/>
      <c r="CE1300" s="1"/>
      <c r="CF1300" s="1"/>
      <c r="CG1300" s="1"/>
      <c r="CH1300" s="1"/>
      <c r="CI1300" s="1"/>
    </row>
    <row r="1301" spans="1:87" x14ac:dyDescent="0.2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1"/>
      <c r="CE1301" s="1"/>
      <c r="CF1301" s="1"/>
      <c r="CG1301" s="1"/>
      <c r="CH1301" s="1"/>
      <c r="CI1301" s="1"/>
    </row>
    <row r="1302" spans="1:87" x14ac:dyDescent="0.2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1"/>
      <c r="CE1302" s="1"/>
      <c r="CF1302" s="1"/>
      <c r="CG1302" s="1"/>
      <c r="CH1302" s="1"/>
      <c r="CI1302" s="1"/>
    </row>
    <row r="1303" spans="1:87" x14ac:dyDescent="0.2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1"/>
      <c r="CE1303" s="1"/>
      <c r="CF1303" s="1"/>
      <c r="CG1303" s="1"/>
      <c r="CH1303" s="1"/>
      <c r="CI1303" s="1"/>
    </row>
    <row r="1304" spans="1:87" x14ac:dyDescent="0.2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1"/>
      <c r="CE1304" s="1"/>
      <c r="CF1304" s="1"/>
      <c r="CG1304" s="1"/>
      <c r="CH1304" s="1"/>
      <c r="CI1304" s="1"/>
    </row>
    <row r="1305" spans="1:87" x14ac:dyDescent="0.2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1"/>
      <c r="CE1305" s="1"/>
      <c r="CF1305" s="1"/>
      <c r="CG1305" s="1"/>
      <c r="CH1305" s="1"/>
      <c r="CI1305" s="1"/>
    </row>
    <row r="1306" spans="1:87" x14ac:dyDescent="0.2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1"/>
      <c r="CE1306" s="1"/>
      <c r="CF1306" s="1"/>
      <c r="CG1306" s="1"/>
      <c r="CH1306" s="1"/>
      <c r="CI1306" s="1"/>
    </row>
    <row r="1307" spans="1:87" x14ac:dyDescent="0.2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1"/>
      <c r="CE1307" s="1"/>
      <c r="CF1307" s="1"/>
      <c r="CG1307" s="1"/>
      <c r="CH1307" s="1"/>
      <c r="CI1307" s="1"/>
    </row>
    <row r="1308" spans="1:87" x14ac:dyDescent="0.2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1"/>
      <c r="CE1308" s="1"/>
      <c r="CF1308" s="1"/>
      <c r="CG1308" s="1"/>
      <c r="CH1308" s="1"/>
      <c r="CI1308" s="1"/>
    </row>
    <row r="1309" spans="1:87" x14ac:dyDescent="0.2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1"/>
      <c r="CE1309" s="1"/>
      <c r="CF1309" s="1"/>
      <c r="CG1309" s="1"/>
      <c r="CH1309" s="1"/>
      <c r="CI1309" s="1"/>
    </row>
    <row r="1310" spans="1:87" x14ac:dyDescent="0.2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1"/>
      <c r="CE1310" s="1"/>
      <c r="CF1310" s="1"/>
      <c r="CG1310" s="1"/>
      <c r="CH1310" s="1"/>
      <c r="CI1310" s="1"/>
    </row>
    <row r="1311" spans="1:87" x14ac:dyDescent="0.2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1"/>
      <c r="CE1311" s="1"/>
      <c r="CF1311" s="1"/>
      <c r="CG1311" s="1"/>
      <c r="CH1311" s="1"/>
      <c r="CI1311" s="1"/>
    </row>
    <row r="1312" spans="1:87" x14ac:dyDescent="0.2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1"/>
      <c r="CE1312" s="1"/>
      <c r="CF1312" s="1"/>
      <c r="CG1312" s="1"/>
      <c r="CH1312" s="1"/>
      <c r="CI1312" s="1"/>
    </row>
    <row r="1313" spans="1:87" x14ac:dyDescent="0.2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1"/>
      <c r="CE1313" s="1"/>
      <c r="CF1313" s="1"/>
      <c r="CG1313" s="1"/>
      <c r="CH1313" s="1"/>
      <c r="CI1313" s="1"/>
    </row>
    <row r="1314" spans="1:87" x14ac:dyDescent="0.2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1"/>
      <c r="CE1314" s="1"/>
      <c r="CF1314" s="1"/>
      <c r="CG1314" s="1"/>
      <c r="CH1314" s="1"/>
      <c r="CI1314" s="1"/>
    </row>
    <row r="1315" spans="1:87" x14ac:dyDescent="0.2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1"/>
      <c r="CE1315" s="1"/>
      <c r="CF1315" s="1"/>
      <c r="CG1315" s="1"/>
      <c r="CH1315" s="1"/>
      <c r="CI1315" s="1"/>
    </row>
    <row r="1316" spans="1:87" x14ac:dyDescent="0.2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1"/>
      <c r="CE1316" s="1"/>
      <c r="CF1316" s="1"/>
      <c r="CG1316" s="1"/>
      <c r="CH1316" s="1"/>
      <c r="CI1316" s="1"/>
    </row>
    <row r="1317" spans="1:87" x14ac:dyDescent="0.2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1"/>
      <c r="CE1317" s="1"/>
      <c r="CF1317" s="1"/>
      <c r="CG1317" s="1"/>
      <c r="CH1317" s="1"/>
      <c r="CI1317" s="1"/>
    </row>
    <row r="1318" spans="1:87" x14ac:dyDescent="0.2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1"/>
      <c r="CE1318" s="1"/>
      <c r="CF1318" s="1"/>
      <c r="CG1318" s="1"/>
      <c r="CH1318" s="1"/>
      <c r="CI1318" s="1"/>
    </row>
    <row r="1319" spans="1:87" x14ac:dyDescent="0.2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1"/>
      <c r="CE1319" s="1"/>
      <c r="CF1319" s="1"/>
      <c r="CG1319" s="1"/>
      <c r="CH1319" s="1"/>
      <c r="CI1319" s="1"/>
    </row>
    <row r="1320" spans="1:87" x14ac:dyDescent="0.2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1"/>
      <c r="CE1320" s="1"/>
      <c r="CF1320" s="1"/>
      <c r="CG1320" s="1"/>
      <c r="CH1320" s="1"/>
      <c r="CI1320" s="1"/>
    </row>
    <row r="1321" spans="1:87" x14ac:dyDescent="0.2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1"/>
      <c r="CE1321" s="1"/>
      <c r="CF1321" s="1"/>
      <c r="CG1321" s="1"/>
      <c r="CH1321" s="1"/>
      <c r="CI1321" s="1"/>
    </row>
    <row r="1322" spans="1:87" x14ac:dyDescent="0.2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1"/>
      <c r="CE1322" s="1"/>
      <c r="CF1322" s="1"/>
      <c r="CG1322" s="1"/>
      <c r="CH1322" s="1"/>
      <c r="CI1322" s="1"/>
    </row>
    <row r="1323" spans="1:87" x14ac:dyDescent="0.2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  <c r="BN1323" s="1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1"/>
      <c r="CE1323" s="1"/>
      <c r="CF1323" s="1"/>
      <c r="CG1323" s="1"/>
      <c r="CH1323" s="1"/>
      <c r="CI1323" s="1"/>
    </row>
    <row r="1324" spans="1:87" x14ac:dyDescent="0.2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1"/>
      <c r="CE1324" s="1"/>
      <c r="CF1324" s="1"/>
      <c r="CG1324" s="1"/>
      <c r="CH1324" s="1"/>
      <c r="CI1324" s="1"/>
    </row>
    <row r="1325" spans="1:87" x14ac:dyDescent="0.2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  <c r="BN1325" s="1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1"/>
      <c r="CE1325" s="1"/>
      <c r="CF1325" s="1"/>
      <c r="CG1325" s="1"/>
      <c r="CH1325" s="1"/>
      <c r="CI1325" s="1"/>
    </row>
    <row r="1326" spans="1:87" x14ac:dyDescent="0.2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1"/>
      <c r="CE1326" s="1"/>
      <c r="CF1326" s="1"/>
      <c r="CG1326" s="1"/>
      <c r="CH1326" s="1"/>
      <c r="CI1326" s="1"/>
    </row>
    <row r="1327" spans="1:87" x14ac:dyDescent="0.2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1"/>
      <c r="CE1327" s="1"/>
      <c r="CF1327" s="1"/>
      <c r="CG1327" s="1"/>
      <c r="CH1327" s="1"/>
      <c r="CI1327" s="1"/>
    </row>
    <row r="1328" spans="1:87" x14ac:dyDescent="0.2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1"/>
      <c r="CE1328" s="1"/>
      <c r="CF1328" s="1"/>
      <c r="CG1328" s="1"/>
      <c r="CH1328" s="1"/>
      <c r="CI1328" s="1"/>
    </row>
    <row r="1329" spans="1:87" x14ac:dyDescent="0.2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1"/>
      <c r="CE1329" s="1"/>
      <c r="CF1329" s="1"/>
      <c r="CG1329" s="1"/>
      <c r="CH1329" s="1"/>
      <c r="CI1329" s="1"/>
    </row>
    <row r="1330" spans="1:87" x14ac:dyDescent="0.2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1"/>
      <c r="CE1330" s="1"/>
      <c r="CF1330" s="1"/>
      <c r="CG1330" s="1"/>
      <c r="CH1330" s="1"/>
      <c r="CI1330" s="1"/>
    </row>
    <row r="1331" spans="1:87" x14ac:dyDescent="0.2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1"/>
      <c r="CE1331" s="1"/>
      <c r="CF1331" s="1"/>
      <c r="CG1331" s="1"/>
      <c r="CH1331" s="1"/>
      <c r="CI1331" s="1"/>
    </row>
    <row r="1332" spans="1:87" x14ac:dyDescent="0.2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1"/>
      <c r="CE1332" s="1"/>
      <c r="CF1332" s="1"/>
      <c r="CG1332" s="1"/>
      <c r="CH1332" s="1"/>
      <c r="CI1332" s="1"/>
    </row>
    <row r="1333" spans="1:87" x14ac:dyDescent="0.2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1"/>
      <c r="CE1333" s="1"/>
      <c r="CF1333" s="1"/>
      <c r="CG1333" s="1"/>
      <c r="CH1333" s="1"/>
      <c r="CI1333" s="1"/>
    </row>
    <row r="1334" spans="1:87" x14ac:dyDescent="0.2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  <c r="BN1334" s="1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1"/>
      <c r="CE1334" s="1"/>
      <c r="CF1334" s="1"/>
      <c r="CG1334" s="1"/>
      <c r="CH1334" s="1"/>
      <c r="CI1334" s="1"/>
    </row>
    <row r="1335" spans="1:87" x14ac:dyDescent="0.2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  <c r="BN1335" s="1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1"/>
      <c r="CE1335" s="1"/>
      <c r="CF1335" s="1"/>
      <c r="CG1335" s="1"/>
      <c r="CH1335" s="1"/>
      <c r="CI1335" s="1"/>
    </row>
    <row r="1336" spans="1:87" x14ac:dyDescent="0.2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  <c r="BN1336" s="1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1"/>
      <c r="CE1336" s="1"/>
      <c r="CF1336" s="1"/>
      <c r="CG1336" s="1"/>
      <c r="CH1336" s="1"/>
      <c r="CI1336" s="1"/>
    </row>
    <row r="1337" spans="1:87" x14ac:dyDescent="0.2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  <c r="BN1337" s="1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1"/>
      <c r="CE1337" s="1"/>
      <c r="CF1337" s="1"/>
      <c r="CG1337" s="1"/>
      <c r="CH1337" s="1"/>
      <c r="CI1337" s="1"/>
    </row>
    <row r="1338" spans="1:87" x14ac:dyDescent="0.2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1"/>
      <c r="CE1338" s="1"/>
      <c r="CF1338" s="1"/>
      <c r="CG1338" s="1"/>
      <c r="CH1338" s="1"/>
      <c r="CI1338" s="1"/>
    </row>
    <row r="1339" spans="1:87" x14ac:dyDescent="0.2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1"/>
      <c r="CE1339" s="1"/>
      <c r="CF1339" s="1"/>
      <c r="CG1339" s="1"/>
      <c r="CH1339" s="1"/>
      <c r="CI1339" s="1"/>
    </row>
    <row r="1340" spans="1:87" x14ac:dyDescent="0.2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1"/>
      <c r="CE1340" s="1"/>
      <c r="CF1340" s="1"/>
      <c r="CG1340" s="1"/>
      <c r="CH1340" s="1"/>
      <c r="CI1340" s="1"/>
    </row>
    <row r="1341" spans="1:87" x14ac:dyDescent="0.2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1"/>
      <c r="CE1341" s="1"/>
      <c r="CF1341" s="1"/>
      <c r="CG1341" s="1"/>
      <c r="CH1341" s="1"/>
      <c r="CI1341" s="1"/>
    </row>
    <row r="1342" spans="1:87" x14ac:dyDescent="0.2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1"/>
      <c r="CE1342" s="1"/>
      <c r="CF1342" s="1"/>
      <c r="CG1342" s="1"/>
      <c r="CH1342" s="1"/>
      <c r="CI1342" s="1"/>
    </row>
    <row r="1343" spans="1:87" x14ac:dyDescent="0.2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1"/>
      <c r="CE1343" s="1"/>
      <c r="CF1343" s="1"/>
      <c r="CG1343" s="1"/>
      <c r="CH1343" s="1"/>
      <c r="CI1343" s="1"/>
    </row>
    <row r="1344" spans="1:87" x14ac:dyDescent="0.2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1"/>
      <c r="CE1344" s="1"/>
      <c r="CF1344" s="1"/>
      <c r="CG1344" s="1"/>
      <c r="CH1344" s="1"/>
      <c r="CI1344" s="1"/>
    </row>
    <row r="1345" spans="1:87" x14ac:dyDescent="0.2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1"/>
      <c r="CE1345" s="1"/>
      <c r="CF1345" s="1"/>
      <c r="CG1345" s="1"/>
      <c r="CH1345" s="1"/>
      <c r="CI1345" s="1"/>
    </row>
    <row r="1346" spans="1:87" x14ac:dyDescent="0.2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1"/>
      <c r="CE1346" s="1"/>
      <c r="CF1346" s="1"/>
      <c r="CG1346" s="1"/>
      <c r="CH1346" s="1"/>
      <c r="CI1346" s="1"/>
    </row>
    <row r="1347" spans="1:87" x14ac:dyDescent="0.2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1"/>
      <c r="CE1347" s="1"/>
      <c r="CF1347" s="1"/>
      <c r="CG1347" s="1"/>
      <c r="CH1347" s="1"/>
      <c r="CI1347" s="1"/>
    </row>
    <row r="1348" spans="1:87" x14ac:dyDescent="0.2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1"/>
      <c r="CE1348" s="1"/>
      <c r="CF1348" s="1"/>
      <c r="CG1348" s="1"/>
      <c r="CH1348" s="1"/>
      <c r="CI1348" s="1"/>
    </row>
    <row r="1349" spans="1:87" x14ac:dyDescent="0.2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1"/>
      <c r="CE1349" s="1"/>
      <c r="CF1349" s="1"/>
      <c r="CG1349" s="1"/>
      <c r="CH1349" s="1"/>
      <c r="CI1349" s="1"/>
    </row>
    <row r="1350" spans="1:87" x14ac:dyDescent="0.2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1"/>
      <c r="CE1350" s="1"/>
      <c r="CF1350" s="1"/>
      <c r="CG1350" s="1"/>
      <c r="CH1350" s="1"/>
      <c r="CI1350" s="1"/>
    </row>
    <row r="1351" spans="1:87" x14ac:dyDescent="0.2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1"/>
      <c r="CE1351" s="1"/>
      <c r="CF1351" s="1"/>
      <c r="CG1351" s="1"/>
      <c r="CH1351" s="1"/>
      <c r="CI1351" s="1"/>
    </row>
    <row r="1352" spans="1:87" x14ac:dyDescent="0.2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  <c r="BN1352" s="1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1"/>
      <c r="CE1352" s="1"/>
      <c r="CF1352" s="1"/>
      <c r="CG1352" s="1"/>
      <c r="CH1352" s="1"/>
      <c r="CI1352" s="1"/>
    </row>
    <row r="1353" spans="1:87" x14ac:dyDescent="0.2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  <c r="BN1353" s="1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1"/>
      <c r="CE1353" s="1"/>
      <c r="CF1353" s="1"/>
      <c r="CG1353" s="1"/>
      <c r="CH1353" s="1"/>
      <c r="CI1353" s="1"/>
    </row>
    <row r="1354" spans="1:87" x14ac:dyDescent="0.2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  <c r="BN1354" s="1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1"/>
      <c r="CE1354" s="1"/>
      <c r="CF1354" s="1"/>
      <c r="CG1354" s="1"/>
      <c r="CH1354" s="1"/>
      <c r="CI1354" s="1"/>
    </row>
    <row r="1355" spans="1:87" x14ac:dyDescent="0.2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  <c r="BN1355" s="1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1"/>
      <c r="CE1355" s="1"/>
      <c r="CF1355" s="1"/>
      <c r="CG1355" s="1"/>
      <c r="CH1355" s="1"/>
      <c r="CI1355" s="1"/>
    </row>
    <row r="1356" spans="1:87" x14ac:dyDescent="0.2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  <c r="BN1356" s="1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1"/>
      <c r="CE1356" s="1"/>
      <c r="CF1356" s="1"/>
      <c r="CG1356" s="1"/>
      <c r="CH1356" s="1"/>
      <c r="CI1356" s="1"/>
    </row>
    <row r="1357" spans="1:87" x14ac:dyDescent="0.2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1"/>
      <c r="CE1357" s="1"/>
      <c r="CF1357" s="1"/>
      <c r="CG1357" s="1"/>
      <c r="CH1357" s="1"/>
      <c r="CI1357" s="1"/>
    </row>
    <row r="1358" spans="1:87" x14ac:dyDescent="0.2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1"/>
      <c r="CE1358" s="1"/>
      <c r="CF1358" s="1"/>
      <c r="CG1358" s="1"/>
      <c r="CH1358" s="1"/>
      <c r="CI1358" s="1"/>
    </row>
    <row r="1359" spans="1:87" x14ac:dyDescent="0.2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1"/>
      <c r="CE1359" s="1"/>
      <c r="CF1359" s="1"/>
      <c r="CG1359" s="1"/>
      <c r="CH1359" s="1"/>
      <c r="CI1359" s="1"/>
    </row>
    <row r="1360" spans="1:87" x14ac:dyDescent="0.2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1"/>
      <c r="CE1360" s="1"/>
      <c r="CF1360" s="1"/>
      <c r="CG1360" s="1"/>
      <c r="CH1360" s="1"/>
      <c r="CI1360" s="1"/>
    </row>
    <row r="1361" spans="1:87" x14ac:dyDescent="0.2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  <c r="BN1361" s="1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1"/>
      <c r="CE1361" s="1"/>
      <c r="CF1361" s="1"/>
      <c r="CG1361" s="1"/>
      <c r="CH1361" s="1"/>
      <c r="CI1361" s="1"/>
    </row>
    <row r="1362" spans="1:87" x14ac:dyDescent="0.2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1"/>
      <c r="CE1362" s="1"/>
      <c r="CF1362" s="1"/>
      <c r="CG1362" s="1"/>
      <c r="CH1362" s="1"/>
      <c r="CI1362" s="1"/>
    </row>
    <row r="1363" spans="1:87" x14ac:dyDescent="0.2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1"/>
      <c r="CE1363" s="1"/>
      <c r="CF1363" s="1"/>
      <c r="CG1363" s="1"/>
      <c r="CH1363" s="1"/>
      <c r="CI1363" s="1"/>
    </row>
    <row r="1364" spans="1:87" x14ac:dyDescent="0.2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1"/>
      <c r="CE1364" s="1"/>
      <c r="CF1364" s="1"/>
      <c r="CG1364" s="1"/>
      <c r="CH1364" s="1"/>
      <c r="CI1364" s="1"/>
    </row>
    <row r="1365" spans="1:87" x14ac:dyDescent="0.2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1"/>
      <c r="CE1365" s="1"/>
      <c r="CF1365" s="1"/>
      <c r="CG1365" s="1"/>
      <c r="CH1365" s="1"/>
      <c r="CI1365" s="1"/>
    </row>
    <row r="1366" spans="1:87" x14ac:dyDescent="0.2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  <c r="BN1366" s="1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1"/>
      <c r="CE1366" s="1"/>
      <c r="CF1366" s="1"/>
      <c r="CG1366" s="1"/>
      <c r="CH1366" s="1"/>
      <c r="CI1366" s="1"/>
    </row>
    <row r="1367" spans="1:87" x14ac:dyDescent="0.2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1"/>
      <c r="CE1367" s="1"/>
      <c r="CF1367" s="1"/>
      <c r="CG1367" s="1"/>
      <c r="CH1367" s="1"/>
      <c r="CI1367" s="1"/>
    </row>
    <row r="1368" spans="1:87" x14ac:dyDescent="0.2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1"/>
      <c r="CE1368" s="1"/>
      <c r="CF1368" s="1"/>
      <c r="CG1368" s="1"/>
      <c r="CH1368" s="1"/>
      <c r="CI1368" s="1"/>
    </row>
    <row r="1369" spans="1:87" x14ac:dyDescent="0.2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1"/>
      <c r="CE1369" s="1"/>
      <c r="CF1369" s="1"/>
      <c r="CG1369" s="1"/>
      <c r="CH1369" s="1"/>
      <c r="CI1369" s="1"/>
    </row>
    <row r="1370" spans="1:87" x14ac:dyDescent="0.2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1"/>
      <c r="CE1370" s="1"/>
      <c r="CF1370" s="1"/>
      <c r="CG1370" s="1"/>
      <c r="CH1370" s="1"/>
      <c r="CI1370" s="1"/>
    </row>
    <row r="1371" spans="1:87" x14ac:dyDescent="0.2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1"/>
      <c r="CE1371" s="1"/>
      <c r="CF1371" s="1"/>
      <c r="CG1371" s="1"/>
      <c r="CH1371" s="1"/>
      <c r="CI1371" s="1"/>
    </row>
    <row r="1372" spans="1:87" x14ac:dyDescent="0.2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1"/>
      <c r="CE1372" s="1"/>
      <c r="CF1372" s="1"/>
      <c r="CG1372" s="1"/>
      <c r="CH1372" s="1"/>
      <c r="CI1372" s="1"/>
    </row>
    <row r="1373" spans="1:87" x14ac:dyDescent="0.2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  <c r="BN1373" s="1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1"/>
      <c r="CE1373" s="1"/>
      <c r="CF1373" s="1"/>
      <c r="CG1373" s="1"/>
      <c r="CH1373" s="1"/>
      <c r="CI1373" s="1"/>
    </row>
    <row r="1374" spans="1:87" x14ac:dyDescent="0.2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  <c r="BN1374" s="1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1"/>
      <c r="CE1374" s="1"/>
      <c r="CF1374" s="1"/>
      <c r="CG1374" s="1"/>
      <c r="CH1374" s="1"/>
      <c r="CI1374" s="1"/>
    </row>
    <row r="1375" spans="1:87" x14ac:dyDescent="0.2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1"/>
      <c r="CE1375" s="1"/>
      <c r="CF1375" s="1"/>
      <c r="CG1375" s="1"/>
      <c r="CH1375" s="1"/>
      <c r="CI1375" s="1"/>
    </row>
    <row r="1376" spans="1:87" x14ac:dyDescent="0.2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1"/>
      <c r="CE1376" s="1"/>
      <c r="CF1376" s="1"/>
      <c r="CG1376" s="1"/>
      <c r="CH1376" s="1"/>
      <c r="CI1376" s="1"/>
    </row>
    <row r="1377" spans="1:87" x14ac:dyDescent="0.2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1"/>
      <c r="CE1377" s="1"/>
      <c r="CF1377" s="1"/>
      <c r="CG1377" s="1"/>
      <c r="CH1377" s="1"/>
      <c r="CI1377" s="1"/>
    </row>
    <row r="1378" spans="1:87" x14ac:dyDescent="0.2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1"/>
      <c r="CE1378" s="1"/>
      <c r="CF1378" s="1"/>
      <c r="CG1378" s="1"/>
      <c r="CH1378" s="1"/>
      <c r="CI1378" s="1"/>
    </row>
    <row r="1379" spans="1:87" x14ac:dyDescent="0.2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1"/>
      <c r="CE1379" s="1"/>
      <c r="CF1379" s="1"/>
      <c r="CG1379" s="1"/>
      <c r="CH1379" s="1"/>
      <c r="CI1379" s="1"/>
    </row>
    <row r="1380" spans="1:87" x14ac:dyDescent="0.2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1"/>
      <c r="CE1380" s="1"/>
      <c r="CF1380" s="1"/>
      <c r="CG1380" s="1"/>
      <c r="CH1380" s="1"/>
      <c r="CI1380" s="1"/>
    </row>
    <row r="1381" spans="1:87" x14ac:dyDescent="0.2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1"/>
      <c r="CE1381" s="1"/>
      <c r="CF1381" s="1"/>
      <c r="CG1381" s="1"/>
      <c r="CH1381" s="1"/>
      <c r="CI1381" s="1"/>
    </row>
    <row r="1382" spans="1:87" x14ac:dyDescent="0.2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1"/>
      <c r="CE1382" s="1"/>
      <c r="CF1382" s="1"/>
      <c r="CG1382" s="1"/>
      <c r="CH1382" s="1"/>
      <c r="CI1382" s="1"/>
    </row>
    <row r="1383" spans="1:87" x14ac:dyDescent="0.2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1"/>
      <c r="CE1383" s="1"/>
      <c r="CF1383" s="1"/>
      <c r="CG1383" s="1"/>
      <c r="CH1383" s="1"/>
      <c r="CI1383" s="1"/>
    </row>
    <row r="1384" spans="1:87" x14ac:dyDescent="0.2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1"/>
      <c r="CE1384" s="1"/>
      <c r="CF1384" s="1"/>
      <c r="CG1384" s="1"/>
      <c r="CH1384" s="1"/>
      <c r="CI1384" s="1"/>
    </row>
    <row r="1385" spans="1:87" x14ac:dyDescent="0.2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1"/>
      <c r="CE1385" s="1"/>
      <c r="CF1385" s="1"/>
      <c r="CG1385" s="1"/>
      <c r="CH1385" s="1"/>
      <c r="CI1385" s="1"/>
    </row>
    <row r="1386" spans="1:87" x14ac:dyDescent="0.2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1"/>
      <c r="CE1386" s="1"/>
      <c r="CF1386" s="1"/>
      <c r="CG1386" s="1"/>
      <c r="CH1386" s="1"/>
      <c r="CI1386" s="1"/>
    </row>
    <row r="1387" spans="1:87" x14ac:dyDescent="0.2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1"/>
      <c r="CE1387" s="1"/>
      <c r="CF1387" s="1"/>
      <c r="CG1387" s="1"/>
      <c r="CH1387" s="1"/>
      <c r="CI1387" s="1"/>
    </row>
    <row r="1388" spans="1:87" x14ac:dyDescent="0.2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1"/>
      <c r="CE1388" s="1"/>
      <c r="CF1388" s="1"/>
      <c r="CG1388" s="1"/>
      <c r="CH1388" s="1"/>
      <c r="CI1388" s="1"/>
    </row>
    <row r="1389" spans="1:87" x14ac:dyDescent="0.2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1"/>
      <c r="CE1389" s="1"/>
      <c r="CF1389" s="1"/>
      <c r="CG1389" s="1"/>
      <c r="CH1389" s="1"/>
      <c r="CI1389" s="1"/>
    </row>
    <row r="1390" spans="1:87" x14ac:dyDescent="0.2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  <c r="BN1390" s="1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1"/>
      <c r="CE1390" s="1"/>
      <c r="CF1390" s="1"/>
      <c r="CG1390" s="1"/>
      <c r="CH1390" s="1"/>
      <c r="CI1390" s="1"/>
    </row>
    <row r="1391" spans="1:87" x14ac:dyDescent="0.2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  <c r="BN1391" s="1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1"/>
      <c r="CE1391" s="1"/>
      <c r="CF1391" s="1"/>
      <c r="CG1391" s="1"/>
      <c r="CH1391" s="1"/>
      <c r="CI1391" s="1"/>
    </row>
    <row r="1392" spans="1:87" x14ac:dyDescent="0.2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  <c r="BN1392" s="1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1"/>
      <c r="CE1392" s="1"/>
      <c r="CF1392" s="1"/>
      <c r="CG1392" s="1"/>
      <c r="CH1392" s="1"/>
      <c r="CI1392" s="1"/>
    </row>
    <row r="1393" spans="1:87" x14ac:dyDescent="0.2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  <c r="BN1393" s="1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1"/>
      <c r="CE1393" s="1"/>
      <c r="CF1393" s="1"/>
      <c r="CG1393" s="1"/>
      <c r="CH1393" s="1"/>
      <c r="CI1393" s="1"/>
    </row>
    <row r="1394" spans="1:87" x14ac:dyDescent="0.2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  <c r="BN1394" s="1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1"/>
      <c r="CE1394" s="1"/>
      <c r="CF1394" s="1"/>
      <c r="CG1394" s="1"/>
      <c r="CH1394" s="1"/>
      <c r="CI1394" s="1"/>
    </row>
    <row r="1395" spans="1:87" x14ac:dyDescent="0.2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  <c r="BN1395" s="1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1"/>
      <c r="CE1395" s="1"/>
      <c r="CF1395" s="1"/>
      <c r="CG1395" s="1"/>
      <c r="CH1395" s="1"/>
      <c r="CI1395" s="1"/>
    </row>
    <row r="1396" spans="1:87" x14ac:dyDescent="0.2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  <c r="BN1396" s="1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1"/>
      <c r="CE1396" s="1"/>
      <c r="CF1396" s="1"/>
      <c r="CG1396" s="1"/>
      <c r="CH1396" s="1"/>
      <c r="CI1396" s="1"/>
    </row>
    <row r="1397" spans="1:87" x14ac:dyDescent="0.2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  <c r="BN1397" s="1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1"/>
      <c r="CE1397" s="1"/>
      <c r="CF1397" s="1"/>
      <c r="CG1397" s="1"/>
      <c r="CH1397" s="1"/>
      <c r="CI1397" s="1"/>
    </row>
    <row r="1398" spans="1:87" x14ac:dyDescent="0.2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1"/>
      <c r="CE1398" s="1"/>
      <c r="CF1398" s="1"/>
      <c r="CG1398" s="1"/>
      <c r="CH1398" s="1"/>
      <c r="CI1398" s="1"/>
    </row>
    <row r="1399" spans="1:87" x14ac:dyDescent="0.2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  <c r="BN1399" s="1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1"/>
      <c r="CE1399" s="1"/>
      <c r="CF1399" s="1"/>
      <c r="CG1399" s="1"/>
      <c r="CH1399" s="1"/>
      <c r="CI1399" s="1"/>
    </row>
    <row r="1400" spans="1:87" x14ac:dyDescent="0.2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  <c r="BN1400" s="1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1"/>
      <c r="CE1400" s="1"/>
      <c r="CF1400" s="1"/>
      <c r="CG1400" s="1"/>
      <c r="CH1400" s="1"/>
      <c r="CI1400" s="1"/>
    </row>
    <row r="1401" spans="1:87" x14ac:dyDescent="0.2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</row>
    <row r="1402" spans="1:87" x14ac:dyDescent="0.2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  <c r="BN1402" s="1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1"/>
      <c r="CE1402" s="1"/>
      <c r="CF1402" s="1"/>
      <c r="CG1402" s="1"/>
      <c r="CH1402" s="1"/>
      <c r="CI1402" s="1"/>
    </row>
    <row r="1403" spans="1:87" x14ac:dyDescent="0.2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  <c r="BN1403" s="1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1"/>
      <c r="CE1403" s="1"/>
      <c r="CF1403" s="1"/>
      <c r="CG1403" s="1"/>
      <c r="CH1403" s="1"/>
      <c r="CI1403" s="1"/>
    </row>
    <row r="1404" spans="1:87" x14ac:dyDescent="0.2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  <c r="BN1404" s="1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1"/>
      <c r="CE1404" s="1"/>
      <c r="CF1404" s="1"/>
      <c r="CG1404" s="1"/>
      <c r="CH1404" s="1"/>
      <c r="CI1404" s="1"/>
    </row>
    <row r="1405" spans="1:87" x14ac:dyDescent="0.2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  <c r="BN1405" s="1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1"/>
      <c r="CE1405" s="1"/>
      <c r="CF1405" s="1"/>
      <c r="CG1405" s="1"/>
      <c r="CH1405" s="1"/>
      <c r="CI1405" s="1"/>
    </row>
    <row r="1406" spans="1:87" x14ac:dyDescent="0.2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  <c r="BN1406" s="1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1"/>
      <c r="CE1406" s="1"/>
      <c r="CF1406" s="1"/>
      <c r="CG1406" s="1"/>
      <c r="CH1406" s="1"/>
      <c r="CI1406" s="1"/>
    </row>
    <row r="1407" spans="1:87" x14ac:dyDescent="0.2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  <c r="BN1407" s="1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1"/>
      <c r="CE1407" s="1"/>
      <c r="CF1407" s="1"/>
      <c r="CG1407" s="1"/>
      <c r="CH1407" s="1"/>
      <c r="CI1407" s="1"/>
    </row>
    <row r="1408" spans="1:87" x14ac:dyDescent="0.2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  <c r="BN1408" s="1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1"/>
      <c r="CE1408" s="1"/>
      <c r="CF1408" s="1"/>
      <c r="CG1408" s="1"/>
      <c r="CH1408" s="1"/>
      <c r="CI1408" s="1"/>
    </row>
    <row r="1409" spans="1:87" x14ac:dyDescent="0.2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  <c r="BN1409" s="1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1"/>
      <c r="CE1409" s="1"/>
      <c r="CF1409" s="1"/>
      <c r="CG1409" s="1"/>
      <c r="CH1409" s="1"/>
      <c r="CI1409" s="1"/>
    </row>
    <row r="1410" spans="1:87" x14ac:dyDescent="0.2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  <c r="BN1410" s="1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1"/>
      <c r="CE1410" s="1"/>
      <c r="CF1410" s="1"/>
      <c r="CG1410" s="1"/>
      <c r="CH1410" s="1"/>
      <c r="CI1410" s="1"/>
    </row>
    <row r="1411" spans="1:87" x14ac:dyDescent="0.2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  <c r="BN1411" s="1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1"/>
      <c r="CE1411" s="1"/>
      <c r="CF1411" s="1"/>
      <c r="CG1411" s="1"/>
      <c r="CH1411" s="1"/>
      <c r="CI1411" s="1"/>
    </row>
    <row r="1412" spans="1:87" x14ac:dyDescent="0.2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  <c r="BN1412" s="1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1"/>
      <c r="CE1412" s="1"/>
      <c r="CF1412" s="1"/>
      <c r="CG1412" s="1"/>
      <c r="CH1412" s="1"/>
      <c r="CI1412" s="1"/>
    </row>
    <row r="1413" spans="1:87" x14ac:dyDescent="0.2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  <c r="BN1413" s="1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1"/>
      <c r="CE1413" s="1"/>
      <c r="CF1413" s="1"/>
      <c r="CG1413" s="1"/>
      <c r="CH1413" s="1"/>
      <c r="CI1413" s="1"/>
    </row>
    <row r="1414" spans="1:87" x14ac:dyDescent="0.2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  <c r="BN1414" s="1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1"/>
      <c r="CE1414" s="1"/>
      <c r="CF1414" s="1"/>
      <c r="CG1414" s="1"/>
      <c r="CH1414" s="1"/>
      <c r="CI1414" s="1"/>
    </row>
    <row r="1415" spans="1:87" x14ac:dyDescent="0.2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  <c r="BN1415" s="1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1"/>
      <c r="CE1415" s="1"/>
      <c r="CF1415" s="1"/>
      <c r="CG1415" s="1"/>
      <c r="CH1415" s="1"/>
      <c r="CI1415" s="1"/>
    </row>
    <row r="1416" spans="1:87" x14ac:dyDescent="0.2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  <c r="BN1416" s="1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1"/>
      <c r="CE1416" s="1"/>
      <c r="CF1416" s="1"/>
      <c r="CG1416" s="1"/>
      <c r="CH1416" s="1"/>
      <c r="CI1416" s="1"/>
    </row>
    <row r="1417" spans="1:87" x14ac:dyDescent="0.2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  <c r="BN1417" s="1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1"/>
      <c r="CE1417" s="1"/>
      <c r="CF1417" s="1"/>
      <c r="CG1417" s="1"/>
      <c r="CH1417" s="1"/>
      <c r="CI1417" s="1"/>
    </row>
    <row r="1418" spans="1:87" x14ac:dyDescent="0.2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  <c r="BN1418" s="1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1"/>
      <c r="CE1418" s="1"/>
      <c r="CF1418" s="1"/>
      <c r="CG1418" s="1"/>
      <c r="CH1418" s="1"/>
      <c r="CI1418" s="1"/>
    </row>
  </sheetData>
  <phoneticPr fontId="11" type="noConversion"/>
  <conditionalFormatting sqref="N16:P16 P18">
    <cfRule type="cellIs" dxfId="18" priority="4" operator="greaterThan">
      <formula>0</formula>
    </cfRule>
  </conditionalFormatting>
  <conditionalFormatting sqref="R18">
    <cfRule type="cellIs" dxfId="17" priority="2" operator="greaterThan">
      <formula>0</formula>
    </cfRule>
  </conditionalFormatting>
  <conditionalFormatting sqref="N18:O18">
    <cfRule type="cellIs" dxfId="16" priority="3" operator="greaterThan">
      <formula>0</formula>
    </cfRule>
  </conditionalFormatting>
  <conditionalFormatting sqref="N17:P17">
    <cfRule type="cellIs" dxfId="15" priority="1" operator="greaterThan">
      <formula>0</formula>
    </cfRule>
  </conditionalFormatting>
  <hyperlinks>
    <hyperlink ref="E51" r:id="rId1"/>
  </hyperlinks>
  <pageMargins left="0.75" right="0.75" top="1" bottom="1" header="0.5" footer="0.5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E97"/>
  <sheetViews>
    <sheetView tabSelected="1" topLeftCell="E1" zoomScale="90" zoomScaleNormal="90" workbookViewId="0">
      <selection activeCell="O1" sqref="O1"/>
    </sheetView>
  </sheetViews>
  <sheetFormatPr defaultRowHeight="12.75" x14ac:dyDescent="0.2"/>
  <cols>
    <col min="1" max="1" width="36.28515625" customWidth="1"/>
    <col min="2" max="2" width="10.7109375" customWidth="1"/>
    <col min="3" max="3" width="11.7109375" style="3" customWidth="1"/>
    <col min="4" max="4" width="10.42578125" style="3" customWidth="1"/>
    <col min="5" max="5" width="10.7109375" customWidth="1"/>
    <col min="7" max="7" width="12.42578125" customWidth="1"/>
    <col min="8" max="8" width="15.42578125" customWidth="1"/>
    <col min="9" max="9" width="9.85546875" customWidth="1"/>
    <col min="10" max="10" width="11.5703125" customWidth="1"/>
    <col min="11" max="11" width="12.5703125" customWidth="1"/>
    <col min="12" max="12" width="15.28515625" customWidth="1"/>
    <col min="13" max="13" width="14.7109375" customWidth="1"/>
    <col min="14" max="14" width="12.7109375" customWidth="1"/>
    <col min="15" max="15" width="11.7109375" style="173" customWidth="1"/>
    <col min="16" max="16" width="12.28515625" style="189" customWidth="1"/>
    <col min="17" max="17" width="11.5703125" customWidth="1"/>
    <col min="18" max="18" width="16.7109375" customWidth="1"/>
    <col min="19" max="19" width="15.7109375" customWidth="1"/>
    <col min="20" max="20" width="13.140625" customWidth="1"/>
    <col min="21" max="21" width="9.5703125" bestFit="1" customWidth="1"/>
  </cols>
  <sheetData>
    <row r="1" spans="1:55" ht="25.5" x14ac:dyDescent="0.35">
      <c r="A1" s="181" t="s">
        <v>77</v>
      </c>
      <c r="B1" s="182"/>
      <c r="C1" s="188"/>
      <c r="D1" s="188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291"/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  <c r="AK1" s="291"/>
      <c r="AL1" s="291"/>
      <c r="AM1" s="291"/>
      <c r="AN1" s="291"/>
      <c r="AO1" s="291"/>
      <c r="AP1" s="291"/>
      <c r="AQ1" s="291"/>
      <c r="AR1" s="291"/>
      <c r="AS1" s="291"/>
      <c r="AT1" s="291"/>
      <c r="AU1" s="291"/>
      <c r="AV1" s="291"/>
      <c r="AW1" s="291"/>
      <c r="AX1" s="291"/>
      <c r="AY1" s="291"/>
      <c r="AZ1" s="291"/>
      <c r="BA1" s="291"/>
      <c r="BB1" s="291"/>
      <c r="BC1" s="291"/>
    </row>
    <row r="2" spans="1:55" ht="18" x14ac:dyDescent="0.25">
      <c r="A2" s="350" t="s">
        <v>80</v>
      </c>
      <c r="B2" s="370" t="s">
        <v>199</v>
      </c>
      <c r="C2" s="167"/>
      <c r="D2" s="167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1"/>
      <c r="AP2" s="291"/>
      <c r="AQ2" s="291"/>
      <c r="AR2" s="291"/>
      <c r="AS2" s="291"/>
      <c r="AT2" s="291"/>
      <c r="AU2" s="291"/>
      <c r="AV2" s="291"/>
      <c r="AW2" s="291"/>
      <c r="AX2" s="291"/>
      <c r="AY2" s="291"/>
      <c r="AZ2" s="291"/>
      <c r="BA2" s="291"/>
      <c r="BB2" s="291"/>
      <c r="BC2" s="291"/>
    </row>
    <row r="3" spans="1:55" ht="18" x14ac:dyDescent="0.25">
      <c r="A3" s="246" t="s">
        <v>159</v>
      </c>
      <c r="B3" s="247"/>
      <c r="C3" s="296"/>
      <c r="D3" s="296"/>
      <c r="E3" s="291"/>
      <c r="F3" s="294"/>
      <c r="G3" s="294"/>
      <c r="H3" s="294"/>
      <c r="I3" s="294"/>
      <c r="J3" s="294"/>
      <c r="K3" s="294"/>
      <c r="L3" s="294"/>
      <c r="M3" s="414" t="s">
        <v>222</v>
      </c>
      <c r="N3" s="357"/>
      <c r="O3" s="356" t="s">
        <v>161</v>
      </c>
      <c r="P3" s="357"/>
      <c r="Q3" s="358"/>
      <c r="R3" s="358"/>
      <c r="S3" s="358"/>
      <c r="T3" s="357"/>
      <c r="U3" s="365"/>
      <c r="V3" s="291"/>
      <c r="W3" s="291"/>
      <c r="X3" s="291"/>
      <c r="Y3" s="291"/>
      <c r="Z3" s="291"/>
      <c r="AA3" s="291"/>
      <c r="AB3" s="291"/>
      <c r="AC3" s="291"/>
      <c r="AD3" s="291"/>
      <c r="AE3" s="291"/>
      <c r="AF3" s="291"/>
      <c r="AG3" s="291"/>
      <c r="AH3" s="291"/>
      <c r="AI3" s="291"/>
      <c r="AJ3" s="291"/>
      <c r="AK3" s="291"/>
      <c r="AL3" s="291"/>
      <c r="AM3" s="291"/>
      <c r="AN3" s="291"/>
      <c r="AO3" s="291"/>
      <c r="AP3" s="291"/>
      <c r="AQ3" s="291"/>
      <c r="AR3" s="291"/>
      <c r="AS3" s="291"/>
      <c r="AT3" s="291"/>
      <c r="AU3" s="291"/>
      <c r="AV3" s="291"/>
      <c r="AW3" s="291"/>
      <c r="AX3" s="291"/>
      <c r="AY3" s="291"/>
      <c r="AZ3" s="291"/>
      <c r="BA3" s="291"/>
      <c r="BB3" s="291"/>
      <c r="BC3" s="291"/>
    </row>
    <row r="4" spans="1:55" ht="26.25" x14ac:dyDescent="0.25">
      <c r="A4" s="177" t="s">
        <v>46</v>
      </c>
      <c r="B4" s="178">
        <v>60</v>
      </c>
      <c r="C4" s="361" t="s">
        <v>197</v>
      </c>
      <c r="D4" s="296"/>
      <c r="E4" s="294"/>
      <c r="F4" s="294"/>
      <c r="G4" s="294"/>
      <c r="H4" s="294">
        <v>13.873740771470425</v>
      </c>
      <c r="I4" s="294"/>
      <c r="J4" s="294"/>
      <c r="K4" s="294"/>
      <c r="L4" s="405" t="s">
        <v>219</v>
      </c>
      <c r="M4" s="265" t="s">
        <v>170</v>
      </c>
      <c r="N4" s="426" t="s">
        <v>237</v>
      </c>
      <c r="O4" s="411" t="s">
        <v>162</v>
      </c>
      <c r="P4" s="252" t="s">
        <v>163</v>
      </c>
      <c r="Q4" s="252"/>
      <c r="R4" s="252" t="s">
        <v>229</v>
      </c>
      <c r="S4" s="252"/>
      <c r="T4" s="412" t="s">
        <v>221</v>
      </c>
      <c r="U4" s="413"/>
      <c r="V4" s="291"/>
      <c r="W4" s="291"/>
      <c r="X4" s="291"/>
      <c r="Y4" s="291"/>
      <c r="Z4" s="291"/>
      <c r="AA4" s="291"/>
      <c r="AB4" s="291"/>
      <c r="AC4" s="291"/>
      <c r="AD4" s="291"/>
      <c r="AE4" s="291"/>
      <c r="AF4" s="291"/>
      <c r="AG4" s="291"/>
      <c r="AH4" s="291"/>
      <c r="AI4" s="291"/>
      <c r="AJ4" s="291"/>
      <c r="AK4" s="291"/>
      <c r="AL4" s="291"/>
      <c r="AM4" s="291"/>
      <c r="AN4" s="291"/>
      <c r="AO4" s="291"/>
      <c r="AP4" s="291"/>
      <c r="AQ4" s="291"/>
      <c r="AR4" s="291"/>
      <c r="AS4" s="291"/>
      <c r="AT4" s="291"/>
      <c r="AU4" s="291"/>
      <c r="AV4" s="291"/>
      <c r="AW4" s="291"/>
      <c r="AX4" s="291"/>
      <c r="AY4" s="291"/>
      <c r="AZ4" s="291"/>
      <c r="BA4" s="291"/>
      <c r="BB4" s="291"/>
      <c r="BC4" s="291"/>
    </row>
    <row r="5" spans="1:55" ht="15.75" x14ac:dyDescent="0.25">
      <c r="A5" s="177" t="s">
        <v>49</v>
      </c>
      <c r="B5" s="178">
        <v>3</v>
      </c>
      <c r="C5" s="351">
        <v>3</v>
      </c>
      <c r="D5" s="296"/>
      <c r="E5" s="294"/>
      <c r="F5" s="323" t="s">
        <v>169</v>
      </c>
      <c r="G5" s="294"/>
      <c r="H5" s="294"/>
      <c r="I5" s="294"/>
      <c r="J5" s="294"/>
      <c r="K5" s="294"/>
      <c r="L5" s="406" t="s">
        <v>220</v>
      </c>
      <c r="M5" s="270" t="s">
        <v>38</v>
      </c>
      <c r="N5" s="268" t="s">
        <v>39</v>
      </c>
      <c r="O5" s="266" t="s">
        <v>164</v>
      </c>
      <c r="P5" s="255" t="s">
        <v>153</v>
      </c>
      <c r="Q5" s="187" t="s">
        <v>41</v>
      </c>
      <c r="R5" s="267" t="s">
        <v>38</v>
      </c>
      <c r="S5" s="268" t="s">
        <v>39</v>
      </c>
      <c r="T5" s="187" t="s">
        <v>38</v>
      </c>
      <c r="U5" s="408" t="s">
        <v>39</v>
      </c>
      <c r="V5" s="291"/>
      <c r="W5" s="291"/>
      <c r="X5" s="291"/>
      <c r="Y5" s="291"/>
      <c r="Z5" s="291"/>
      <c r="AA5" s="291"/>
      <c r="AB5" s="291"/>
      <c r="AC5" s="291"/>
      <c r="AD5" s="291"/>
      <c r="AE5" s="291"/>
      <c r="AF5" s="291"/>
      <c r="AG5" s="291"/>
      <c r="AH5" s="291"/>
      <c r="AI5" s="291"/>
      <c r="AJ5" s="291"/>
      <c r="AK5" s="291"/>
      <c r="AL5" s="291"/>
      <c r="AM5" s="291"/>
      <c r="AN5" s="291"/>
      <c r="AO5" s="291"/>
      <c r="AP5" s="291"/>
      <c r="AQ5" s="291"/>
      <c r="AR5" s="291"/>
      <c r="AS5" s="291"/>
      <c r="AT5" s="291"/>
      <c r="AU5" s="291"/>
      <c r="AV5" s="291"/>
      <c r="AW5" s="291"/>
      <c r="AX5" s="291"/>
      <c r="AY5" s="291"/>
      <c r="AZ5" s="291"/>
      <c r="BA5" s="291"/>
      <c r="BB5" s="291"/>
      <c r="BC5" s="291"/>
    </row>
    <row r="6" spans="1:55" ht="15.75" x14ac:dyDescent="0.25">
      <c r="A6" s="177" t="s">
        <v>125</v>
      </c>
      <c r="B6" s="199">
        <v>20</v>
      </c>
      <c r="C6" s="352"/>
      <c r="D6" s="296"/>
      <c r="E6" s="294"/>
      <c r="F6" s="369" t="s">
        <v>237</v>
      </c>
      <c r="G6" s="294"/>
      <c r="H6" s="294"/>
      <c r="I6" s="294"/>
      <c r="J6" s="294"/>
      <c r="K6" s="294"/>
      <c r="L6" s="407">
        <v>1</v>
      </c>
      <c r="M6" s="280">
        <v>0.613973412115981</v>
      </c>
      <c r="N6" s="281">
        <v>0.38729833462074159</v>
      </c>
      <c r="O6" s="259">
        <v>1</v>
      </c>
      <c r="P6" s="260">
        <v>480</v>
      </c>
      <c r="Q6" s="261">
        <v>6.7034450682553413</v>
      </c>
      <c r="R6" s="262">
        <v>19.809254532738976</v>
      </c>
      <c r="S6" s="263">
        <v>59.381114092086364</v>
      </c>
      <c r="T6" s="409">
        <v>0</v>
      </c>
      <c r="U6" s="410">
        <v>0</v>
      </c>
      <c r="V6" s="291"/>
      <c r="W6" s="291"/>
      <c r="X6" s="291"/>
      <c r="Y6" s="291"/>
      <c r="Z6" s="291"/>
      <c r="AA6" s="291"/>
      <c r="AB6" s="291"/>
      <c r="AC6" s="291"/>
      <c r="AD6" s="291"/>
      <c r="AE6" s="291"/>
      <c r="AF6" s="291"/>
      <c r="AG6" s="291"/>
      <c r="AH6" s="291"/>
      <c r="AI6" s="291"/>
      <c r="AJ6" s="291"/>
      <c r="AK6" s="291"/>
      <c r="AL6" s="291"/>
      <c r="AM6" s="291"/>
      <c r="AN6" s="291"/>
      <c r="AO6" s="291"/>
      <c r="AP6" s="291"/>
      <c r="AQ6" s="291"/>
      <c r="AR6" s="291"/>
      <c r="AS6" s="291"/>
      <c r="AT6" s="291"/>
      <c r="AU6" s="291"/>
      <c r="AV6" s="291"/>
      <c r="AW6" s="291"/>
      <c r="AX6" s="291"/>
      <c r="AY6" s="291"/>
      <c r="AZ6" s="291"/>
      <c r="BA6" s="291"/>
      <c r="BB6" s="291"/>
      <c r="BC6" s="291"/>
    </row>
    <row r="7" spans="1:55" ht="15.75" x14ac:dyDescent="0.25">
      <c r="A7" s="177" t="s">
        <v>51</v>
      </c>
      <c r="B7" s="183">
        <v>8</v>
      </c>
      <c r="C7" s="353">
        <v>8</v>
      </c>
      <c r="D7" s="296"/>
      <c r="E7" s="294"/>
      <c r="F7" s="294"/>
      <c r="G7" s="294"/>
      <c r="H7" s="294"/>
      <c r="I7" s="294"/>
      <c r="J7" s="294"/>
      <c r="K7" s="294"/>
      <c r="L7" s="407">
        <f>L6+1</f>
        <v>2</v>
      </c>
      <c r="M7" s="280">
        <v>0.73039688454479701</v>
      </c>
      <c r="N7" s="281">
        <v>0.64567422467784574</v>
      </c>
      <c r="O7" s="259">
        <f>O6+1</f>
        <v>2</v>
      </c>
      <c r="P7" s="260">
        <v>465.59999999999997</v>
      </c>
      <c r="Q7" s="261">
        <v>5.9586178384491921</v>
      </c>
      <c r="R7" s="262">
        <v>0.18175652819471322</v>
      </c>
      <c r="S7" s="263">
        <v>0.60279486437670293</v>
      </c>
      <c r="T7" s="409">
        <v>4</v>
      </c>
      <c r="U7" s="410">
        <v>100</v>
      </c>
      <c r="V7" s="291"/>
      <c r="W7" s="291"/>
      <c r="X7" s="291"/>
      <c r="Y7" s="291"/>
      <c r="Z7" s="291"/>
      <c r="AA7" s="291"/>
      <c r="AB7" s="291"/>
      <c r="AC7" s="291"/>
      <c r="AD7" s="291"/>
      <c r="AE7" s="291"/>
      <c r="AF7" s="291"/>
      <c r="AG7" s="291"/>
      <c r="AH7" s="291"/>
      <c r="AI7" s="291"/>
      <c r="AJ7" s="291"/>
      <c r="AK7" s="291"/>
      <c r="AL7" s="291"/>
      <c r="AM7" s="291"/>
      <c r="AN7" s="291"/>
      <c r="AO7" s="291"/>
      <c r="AP7" s="291"/>
      <c r="AQ7" s="291"/>
      <c r="AR7" s="291"/>
      <c r="AS7" s="291"/>
      <c r="AT7" s="291"/>
      <c r="AU7" s="291"/>
      <c r="AV7" s="291"/>
      <c r="AW7" s="291"/>
      <c r="AX7" s="291"/>
      <c r="AY7" s="291"/>
      <c r="AZ7" s="291"/>
      <c r="BA7" s="291"/>
      <c r="BB7" s="291"/>
      <c r="BC7" s="291"/>
    </row>
    <row r="8" spans="1:55" ht="15.75" x14ac:dyDescent="0.25">
      <c r="A8" s="180" t="s">
        <v>54</v>
      </c>
      <c r="B8" s="200">
        <v>480</v>
      </c>
      <c r="C8" s="296"/>
      <c r="D8" s="296"/>
      <c r="E8" s="294"/>
      <c r="F8" s="294"/>
      <c r="G8" s="294"/>
      <c r="H8" s="294"/>
      <c r="I8" s="294"/>
      <c r="J8" s="294"/>
      <c r="K8" s="294"/>
      <c r="L8" s="407">
        <f t="shared" ref="L8:L15" si="0">L7+1</f>
        <v>3</v>
      </c>
      <c r="M8" s="280">
        <v>0.73039688454479701</v>
      </c>
      <c r="N8" s="281">
        <v>0.64567422467784574</v>
      </c>
      <c r="O8" s="259">
        <f t="shared" ref="O8:O15" si="1">O7+1</f>
        <v>3</v>
      </c>
      <c r="P8" s="260">
        <v>451.63199999999995</v>
      </c>
      <c r="Q8" s="261">
        <v>5.213790608643043</v>
      </c>
      <c r="R8" s="262">
        <v>2.4071319264357702E-4</v>
      </c>
      <c r="S8" s="263">
        <v>2.9121056334750327E-4</v>
      </c>
      <c r="T8" s="409">
        <v>4</v>
      </c>
      <c r="U8" s="410">
        <v>70</v>
      </c>
      <c r="V8" s="291"/>
      <c r="W8" s="291"/>
      <c r="X8" s="291"/>
      <c r="Y8" s="291"/>
      <c r="Z8" s="291"/>
      <c r="AA8" s="291"/>
      <c r="AB8" s="291"/>
      <c r="AC8" s="291"/>
      <c r="AD8" s="291"/>
      <c r="AE8" s="291"/>
      <c r="AF8" s="291"/>
      <c r="AG8" s="291"/>
      <c r="AH8" s="291"/>
      <c r="AI8" s="291"/>
      <c r="AJ8" s="291"/>
      <c r="AK8" s="291"/>
      <c r="AL8" s="291"/>
      <c r="AM8" s="291"/>
      <c r="AN8" s="291"/>
      <c r="AO8" s="291"/>
      <c r="AP8" s="291"/>
      <c r="AQ8" s="291"/>
      <c r="AR8" s="291"/>
      <c r="AS8" s="291"/>
      <c r="AT8" s="291"/>
      <c r="AU8" s="291"/>
      <c r="AV8" s="291"/>
      <c r="AW8" s="291"/>
      <c r="AX8" s="291"/>
      <c r="AY8" s="291"/>
      <c r="AZ8" s="291"/>
      <c r="BA8" s="291"/>
      <c r="BB8" s="291"/>
      <c r="BC8" s="291"/>
    </row>
    <row r="9" spans="1:55" ht="15.75" x14ac:dyDescent="0.25">
      <c r="A9" s="177" t="s">
        <v>228</v>
      </c>
      <c r="B9" s="183">
        <v>0.03</v>
      </c>
      <c r="C9" s="296"/>
      <c r="D9" s="296"/>
      <c r="E9" s="294"/>
      <c r="F9" s="294"/>
      <c r="G9" s="294"/>
      <c r="H9" s="294"/>
      <c r="I9" s="294"/>
      <c r="J9" s="294"/>
      <c r="K9" s="294"/>
      <c r="L9" s="407">
        <f t="shared" si="0"/>
        <v>4</v>
      </c>
      <c r="M9" s="280">
        <v>0.83137186479687974</v>
      </c>
      <c r="N9" s="281">
        <v>0.66574703763127241</v>
      </c>
      <c r="O9" s="259">
        <f t="shared" si="1"/>
        <v>4</v>
      </c>
      <c r="P9" s="260">
        <v>438.08303999999993</v>
      </c>
      <c r="Q9" s="261">
        <v>4.4689633788368939</v>
      </c>
      <c r="R9" s="262">
        <v>4.785096541121802E-8</v>
      </c>
      <c r="S9" s="263">
        <v>6.6500867008834052E-9</v>
      </c>
      <c r="T9" s="409">
        <v>1</v>
      </c>
      <c r="U9" s="410">
        <v>60</v>
      </c>
      <c r="V9" s="291"/>
      <c r="W9" s="291"/>
      <c r="X9" s="291"/>
      <c r="Y9" s="291"/>
      <c r="Z9" s="291"/>
      <c r="AA9" s="291"/>
      <c r="AB9" s="291"/>
      <c r="AC9" s="291"/>
      <c r="AD9" s="291"/>
      <c r="AE9" s="291"/>
      <c r="AF9" s="291"/>
      <c r="AG9" s="291"/>
      <c r="AH9" s="291"/>
      <c r="AI9" s="291"/>
      <c r="AJ9" s="291"/>
      <c r="AK9" s="291"/>
      <c r="AL9" s="291"/>
      <c r="AM9" s="291"/>
      <c r="AN9" s="291"/>
      <c r="AO9" s="291"/>
      <c r="AP9" s="291"/>
      <c r="AQ9" s="291"/>
      <c r="AR9" s="291"/>
      <c r="AS9" s="291"/>
      <c r="AT9" s="291"/>
      <c r="AU9" s="291"/>
      <c r="AV9" s="291"/>
      <c r="AW9" s="291"/>
      <c r="AX9" s="291"/>
      <c r="AY9" s="291"/>
      <c r="AZ9" s="291"/>
      <c r="BA9" s="291"/>
      <c r="BB9" s="291"/>
      <c r="BC9" s="291"/>
    </row>
    <row r="10" spans="1:55" ht="15" x14ac:dyDescent="0.2">
      <c r="A10" s="184" t="s">
        <v>83</v>
      </c>
      <c r="B10" s="176">
        <v>1</v>
      </c>
      <c r="C10" s="296"/>
      <c r="D10" s="296"/>
      <c r="E10" s="294"/>
      <c r="F10" s="294"/>
      <c r="G10" s="294"/>
      <c r="H10" s="294"/>
      <c r="I10" s="294"/>
      <c r="J10" s="294"/>
      <c r="K10" s="294"/>
      <c r="L10" s="407">
        <f t="shared" si="0"/>
        <v>5</v>
      </c>
      <c r="M10" s="280">
        <v>0.87703934169121056</v>
      </c>
      <c r="N10" s="281">
        <v>0.68357072783980255</v>
      </c>
      <c r="O10" s="259">
        <f t="shared" si="1"/>
        <v>5</v>
      </c>
      <c r="P10" s="260">
        <v>424.94054879999993</v>
      </c>
      <c r="Q10" s="261">
        <v>3.7241361490307452</v>
      </c>
      <c r="R10" s="262">
        <v>1.4625142222612906E-12</v>
      </c>
      <c r="S10" s="263">
        <v>0</v>
      </c>
      <c r="T10" s="409">
        <v>1</v>
      </c>
      <c r="U10" s="410">
        <v>40</v>
      </c>
      <c r="V10" s="291"/>
      <c r="W10" s="291"/>
      <c r="X10" s="291"/>
      <c r="Y10" s="291"/>
      <c r="Z10" s="291"/>
      <c r="AA10" s="291"/>
      <c r="AB10" s="291"/>
      <c r="AC10" s="291"/>
      <c r="AD10" s="291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</row>
    <row r="11" spans="1:55" ht="15" x14ac:dyDescent="0.2">
      <c r="A11" s="184" t="s">
        <v>84</v>
      </c>
      <c r="B11" s="176">
        <v>1</v>
      </c>
      <c r="C11" s="296"/>
      <c r="D11" s="296"/>
      <c r="E11" s="294"/>
      <c r="F11" s="294"/>
      <c r="G11" s="294"/>
      <c r="H11" s="294"/>
      <c r="I11" s="294"/>
      <c r="J11" s="294"/>
      <c r="K11" s="294"/>
      <c r="L11" s="407">
        <f t="shared" si="0"/>
        <v>6</v>
      </c>
      <c r="M11" s="280">
        <v>0.90318699860984009</v>
      </c>
      <c r="N11" s="281">
        <v>0.69951922950837664</v>
      </c>
      <c r="O11" s="259">
        <f t="shared" si="1"/>
        <v>6</v>
      </c>
      <c r="P11" s="260">
        <v>412.19233233599994</v>
      </c>
      <c r="Q11" s="261">
        <v>2.9793089192245961</v>
      </c>
      <c r="R11" s="262">
        <v>0</v>
      </c>
      <c r="S11" s="263">
        <v>0</v>
      </c>
      <c r="T11" s="409">
        <v>0</v>
      </c>
      <c r="U11" s="410">
        <v>30</v>
      </c>
      <c r="V11" s="291"/>
      <c r="W11" s="291"/>
      <c r="X11" s="291"/>
      <c r="Y11" s="291"/>
      <c r="Z11" s="291"/>
      <c r="AA11" s="291"/>
      <c r="AB11" s="291"/>
      <c r="AC11" s="291"/>
      <c r="AD11" s="291"/>
      <c r="AE11" s="291"/>
      <c r="AF11" s="291"/>
      <c r="AG11" s="291"/>
      <c r="AH11" s="291"/>
      <c r="AI11" s="291"/>
      <c r="AJ11" s="291"/>
      <c r="AK11" s="291"/>
      <c r="AL11" s="291"/>
      <c r="AM11" s="291"/>
      <c r="AN11" s="291"/>
      <c r="AO11" s="291"/>
      <c r="AP11" s="291"/>
      <c r="AQ11" s="291"/>
      <c r="AR11" s="291"/>
      <c r="AS11" s="291"/>
      <c r="AT11" s="291"/>
      <c r="AU11" s="291"/>
      <c r="AV11" s="291"/>
      <c r="AW11" s="291"/>
      <c r="AX11" s="291"/>
      <c r="AY11" s="291"/>
      <c r="AZ11" s="291"/>
      <c r="BA11" s="291"/>
      <c r="BB11" s="291"/>
      <c r="BC11" s="291"/>
    </row>
    <row r="12" spans="1:55" ht="15" x14ac:dyDescent="0.2">
      <c r="A12" s="184" t="s">
        <v>85</v>
      </c>
      <c r="B12" s="176">
        <v>10</v>
      </c>
      <c r="C12" s="354"/>
      <c r="D12" s="355"/>
      <c r="E12" s="294"/>
      <c r="F12" s="294"/>
      <c r="G12" s="294"/>
      <c r="H12" s="294"/>
      <c r="I12" s="294"/>
      <c r="J12" s="294"/>
      <c r="K12" s="294"/>
      <c r="L12" s="407">
        <f t="shared" si="0"/>
        <v>7</v>
      </c>
      <c r="M12" s="280">
        <v>0.9201470659088492</v>
      </c>
      <c r="N12" s="281">
        <v>0.71388466330727385</v>
      </c>
      <c r="O12" s="259">
        <f t="shared" si="1"/>
        <v>7</v>
      </c>
      <c r="P12" s="260">
        <v>399.82656236591993</v>
      </c>
      <c r="Q12" s="261">
        <v>2.2344816894184469</v>
      </c>
      <c r="R12" s="262">
        <v>0</v>
      </c>
      <c r="S12" s="263">
        <v>0</v>
      </c>
      <c r="T12" s="409">
        <v>0</v>
      </c>
      <c r="U12" s="410">
        <v>0</v>
      </c>
      <c r="V12" s="291"/>
      <c r="W12" s="291"/>
      <c r="X12" s="291"/>
      <c r="Y12" s="291"/>
      <c r="Z12" s="291"/>
      <c r="AA12" s="291"/>
      <c r="AB12" s="291"/>
      <c r="AC12" s="291"/>
      <c r="AD12" s="291"/>
      <c r="AE12" s="291"/>
      <c r="AF12" s="291"/>
      <c r="AG12" s="291"/>
      <c r="AH12" s="291"/>
      <c r="AI12" s="291"/>
      <c r="AJ12" s="291"/>
      <c r="AK12" s="291"/>
      <c r="AL12" s="291"/>
      <c r="AM12" s="291"/>
      <c r="AN12" s="291"/>
      <c r="AO12" s="291"/>
      <c r="AP12" s="291"/>
      <c r="AQ12" s="291"/>
      <c r="AR12" s="291"/>
      <c r="AS12" s="291"/>
      <c r="AT12" s="291"/>
      <c r="AU12" s="291"/>
      <c r="AV12" s="291"/>
      <c r="AW12" s="291"/>
      <c r="AX12" s="291"/>
      <c r="AY12" s="291"/>
      <c r="AZ12" s="291"/>
      <c r="BA12" s="291"/>
      <c r="BB12" s="291"/>
      <c r="BC12" s="291"/>
    </row>
    <row r="13" spans="1:55" ht="15" x14ac:dyDescent="0.2">
      <c r="A13" s="184"/>
      <c r="B13" s="176"/>
      <c r="C13" s="296"/>
      <c r="D13" s="296"/>
      <c r="E13" s="294"/>
      <c r="F13" s="294"/>
      <c r="G13" s="294"/>
      <c r="H13" s="294"/>
      <c r="I13" s="294"/>
      <c r="J13" s="294"/>
      <c r="K13" s="294"/>
      <c r="L13" s="407">
        <f t="shared" si="0"/>
        <v>8</v>
      </c>
      <c r="M13" s="280">
        <v>0.93204406177026911</v>
      </c>
      <c r="N13" s="281">
        <v>0.72689933350090696</v>
      </c>
      <c r="O13" s="259">
        <f t="shared" si="1"/>
        <v>8</v>
      </c>
      <c r="P13" s="260">
        <v>387.83176549494232</v>
      </c>
      <c r="Q13" s="261">
        <v>1.489654459612298</v>
      </c>
      <c r="R13" s="262">
        <v>0</v>
      </c>
      <c r="S13" s="263">
        <v>0</v>
      </c>
      <c r="T13" s="409">
        <v>0</v>
      </c>
      <c r="U13" s="410">
        <v>0</v>
      </c>
      <c r="V13" s="291"/>
      <c r="W13" s="291"/>
      <c r="X13" s="291"/>
      <c r="Y13" s="291"/>
      <c r="Z13" s="291"/>
      <c r="AA13" s="291"/>
      <c r="AB13" s="291"/>
      <c r="AC13" s="291"/>
      <c r="AD13" s="291"/>
      <c r="AE13" s="291"/>
      <c r="AF13" s="291"/>
      <c r="AG13" s="291"/>
      <c r="AH13" s="291"/>
      <c r="AI13" s="291"/>
      <c r="AJ13" s="291"/>
      <c r="AK13" s="291"/>
      <c r="AL13" s="291"/>
      <c r="AM13" s="291"/>
      <c r="AN13" s="291"/>
      <c r="AO13" s="291"/>
      <c r="AP13" s="291"/>
      <c r="AQ13" s="291"/>
      <c r="AR13" s="291"/>
      <c r="AS13" s="291"/>
      <c r="AT13" s="291"/>
      <c r="AU13" s="291"/>
      <c r="AV13" s="291"/>
      <c r="AW13" s="291"/>
      <c r="AX13" s="291"/>
      <c r="AY13" s="291"/>
      <c r="AZ13" s="291"/>
      <c r="BA13" s="291"/>
      <c r="BB13" s="291"/>
      <c r="BC13" s="291"/>
    </row>
    <row r="14" spans="1:55" ht="15.75" x14ac:dyDescent="0.25">
      <c r="A14" s="180" t="s">
        <v>168</v>
      </c>
      <c r="B14" s="178" t="s">
        <v>230</v>
      </c>
      <c r="C14" s="296"/>
      <c r="D14" s="296"/>
      <c r="E14" s="294"/>
      <c r="F14" s="294"/>
      <c r="G14" s="294"/>
      <c r="H14" s="294"/>
      <c r="I14" s="294"/>
      <c r="J14" s="294"/>
      <c r="K14" s="294"/>
      <c r="L14" s="407">
        <f t="shared" si="0"/>
        <v>9</v>
      </c>
      <c r="M14" s="280">
        <v>0.94085274636083982</v>
      </c>
      <c r="N14" s="281">
        <v>0.73875077964976776</v>
      </c>
      <c r="O14" s="259">
        <f t="shared" si="1"/>
        <v>9</v>
      </c>
      <c r="P14" s="260">
        <v>376.19681253009406</v>
      </c>
      <c r="Q14" s="261">
        <v>0.74482722980614902</v>
      </c>
      <c r="R14" s="262">
        <v>0</v>
      </c>
      <c r="S14" s="263">
        <v>0</v>
      </c>
      <c r="T14" s="409">
        <v>0</v>
      </c>
      <c r="U14" s="410">
        <v>0</v>
      </c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</row>
    <row r="15" spans="1:55" ht="15.75" x14ac:dyDescent="0.25">
      <c r="A15" s="180" t="s">
        <v>123</v>
      </c>
      <c r="B15" s="179">
        <v>0.42</v>
      </c>
      <c r="C15" s="296"/>
      <c r="D15" s="296"/>
      <c r="E15" s="294"/>
      <c r="F15" s="294"/>
      <c r="G15" s="294"/>
      <c r="H15" s="294"/>
      <c r="I15" s="294"/>
      <c r="J15" s="291"/>
      <c r="K15" s="291"/>
      <c r="L15" s="407">
        <f t="shared" si="0"/>
        <v>10</v>
      </c>
      <c r="M15" s="280">
        <v>0.94763833175515966</v>
      </c>
      <c r="N15" s="281">
        <v>0.74959237571331572</v>
      </c>
      <c r="O15" s="259">
        <f t="shared" si="1"/>
        <v>10</v>
      </c>
      <c r="P15" s="260">
        <v>364.91090815419125</v>
      </c>
      <c r="Q15" s="261">
        <v>0</v>
      </c>
      <c r="R15" s="262">
        <v>0</v>
      </c>
      <c r="S15" s="263">
        <v>0</v>
      </c>
      <c r="T15" s="415">
        <v>0</v>
      </c>
      <c r="U15" s="410">
        <v>0</v>
      </c>
      <c r="V15" s="291"/>
      <c r="W15" s="291"/>
      <c r="X15" s="291"/>
      <c r="Y15" s="291"/>
      <c r="Z15" s="291"/>
      <c r="AA15" s="291"/>
      <c r="AB15" s="291"/>
      <c r="AC15" s="291"/>
      <c r="AD15" s="291"/>
      <c r="AE15" s="291"/>
      <c r="AF15" s="291"/>
      <c r="AG15" s="291"/>
      <c r="AH15" s="291"/>
      <c r="AI15" s="291"/>
      <c r="AJ15" s="291"/>
      <c r="AK15" s="291"/>
      <c r="AL15" s="291"/>
      <c r="AM15" s="291"/>
      <c r="AN15" s="291"/>
      <c r="AO15" s="291"/>
      <c r="AP15" s="291"/>
      <c r="AQ15" s="291"/>
      <c r="AR15" s="291"/>
      <c r="AS15" s="291"/>
      <c r="AT15" s="291"/>
      <c r="AU15" s="291"/>
      <c r="AV15" s="291"/>
      <c r="AW15" s="291"/>
      <c r="AX15" s="291"/>
      <c r="AY15" s="291"/>
      <c r="AZ15" s="291"/>
      <c r="BA15" s="291"/>
      <c r="BB15" s="291"/>
      <c r="BC15" s="291"/>
    </row>
    <row r="16" spans="1:55" ht="15.75" x14ac:dyDescent="0.25">
      <c r="A16" s="180" t="s">
        <v>124</v>
      </c>
      <c r="B16" s="178">
        <v>2</v>
      </c>
      <c r="C16" s="296"/>
      <c r="D16" s="296"/>
      <c r="E16" s="294"/>
      <c r="F16" s="294"/>
      <c r="G16" s="294"/>
      <c r="H16" s="294"/>
      <c r="I16" s="291"/>
      <c r="J16" s="257" t="s">
        <v>160</v>
      </c>
      <c r="K16" s="258"/>
      <c r="L16" s="258"/>
      <c r="M16" s="424">
        <v>0.54412953563087096</v>
      </c>
      <c r="N16" s="419"/>
      <c r="O16" s="271"/>
      <c r="P16" s="254"/>
      <c r="Q16" s="272"/>
      <c r="R16" s="273">
        <v>20</v>
      </c>
      <c r="S16" s="273">
        <v>60</v>
      </c>
      <c r="T16" s="416">
        <f>SUM(T6:T15)</f>
        <v>10</v>
      </c>
      <c r="U16" s="417">
        <f>SUM(U6:U15)</f>
        <v>300</v>
      </c>
      <c r="V16" s="291"/>
      <c r="W16" s="291"/>
      <c r="X16" s="291"/>
      <c r="Y16" s="291"/>
      <c r="Z16" s="291"/>
      <c r="AA16" s="291"/>
      <c r="AB16" s="291"/>
      <c r="AC16" s="291"/>
      <c r="AD16" s="291"/>
      <c r="AE16" s="291"/>
      <c r="AF16" s="291"/>
      <c r="AG16" s="291"/>
      <c r="AH16" s="291"/>
      <c r="AI16" s="291"/>
      <c r="AJ16" s="291"/>
      <c r="AK16" s="291"/>
      <c r="AL16" s="291"/>
      <c r="AM16" s="291"/>
      <c r="AN16" s="291"/>
      <c r="AO16" s="291"/>
      <c r="AP16" s="291"/>
      <c r="AQ16" s="291"/>
      <c r="AR16" s="291"/>
      <c r="AS16" s="291"/>
      <c r="AT16" s="291"/>
      <c r="AU16" s="291"/>
      <c r="AV16" s="291"/>
      <c r="AW16" s="291"/>
      <c r="AX16" s="291"/>
      <c r="AY16" s="291"/>
      <c r="AZ16" s="291"/>
      <c r="BA16" s="291"/>
      <c r="BB16" s="291"/>
      <c r="BC16" s="291"/>
    </row>
    <row r="17" spans="1:55" ht="20.25" x14ac:dyDescent="0.3">
      <c r="A17" s="180" t="s">
        <v>128</v>
      </c>
      <c r="B17" s="198">
        <v>1</v>
      </c>
      <c r="C17" s="296"/>
      <c r="D17" s="296"/>
      <c r="E17" s="294"/>
      <c r="F17" s="294"/>
      <c r="G17" s="294"/>
      <c r="H17" s="294"/>
      <c r="I17" s="291"/>
      <c r="J17" s="245" t="s">
        <v>81</v>
      </c>
      <c r="K17" s="242"/>
      <c r="L17" s="243" t="s">
        <v>243</v>
      </c>
      <c r="M17" s="243" t="s">
        <v>244</v>
      </c>
      <c r="N17" s="244" t="s">
        <v>89</v>
      </c>
      <c r="O17" s="264"/>
      <c r="P17" s="187"/>
      <c r="Q17" s="269" t="s">
        <v>165</v>
      </c>
      <c r="R17" s="197">
        <v>1.0086744960058756</v>
      </c>
      <c r="S17" s="197">
        <v>1.0097929579855027</v>
      </c>
      <c r="T17" s="418">
        <f t="array" ref="T17">MMULT(TRANSPOSE(O6:O15),T6:T15)/T16</f>
        <v>2.9</v>
      </c>
      <c r="U17" s="279">
        <f t="array" ref="U17">MMULT(TRANSPOSE(O6:O15),U6:U15)/U16</f>
        <v>3.4333333333333331</v>
      </c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/>
      <c r="AW17" s="291"/>
      <c r="AX17" s="291"/>
      <c r="AY17" s="291"/>
      <c r="AZ17" s="291"/>
      <c r="BA17" s="291"/>
      <c r="BB17" s="291"/>
      <c r="BC17" s="291"/>
    </row>
    <row r="18" spans="1:55" ht="15.75" x14ac:dyDescent="0.25">
      <c r="A18" s="180" t="s">
        <v>127</v>
      </c>
      <c r="B18" s="198">
        <v>1</v>
      </c>
      <c r="C18" s="296"/>
      <c r="D18" s="296"/>
      <c r="E18" s="294"/>
      <c r="F18" s="294"/>
      <c r="G18" s="294"/>
      <c r="H18" s="294"/>
      <c r="I18" s="291"/>
      <c r="J18" s="274"/>
      <c r="K18" s="275" t="s">
        <v>166</v>
      </c>
      <c r="L18" s="248">
        <v>0.87761238346116754</v>
      </c>
      <c r="M18" s="248">
        <v>0.74487163578008564</v>
      </c>
      <c r="N18" s="249">
        <v>-0.15125213611682747</v>
      </c>
      <c r="O18" s="291"/>
      <c r="P18" s="291"/>
      <c r="Q18" s="291"/>
      <c r="R18" s="291"/>
      <c r="S18" s="291"/>
      <c r="T18" s="291"/>
      <c r="U18" s="291"/>
      <c r="V18" s="291"/>
      <c r="W18" s="291"/>
      <c r="X18" s="291"/>
      <c r="Y18" s="291"/>
      <c r="Z18" s="291"/>
      <c r="AA18" s="291"/>
      <c r="AB18" s="291"/>
      <c r="AC18" s="291"/>
      <c r="AD18" s="291"/>
      <c r="AE18" s="291"/>
      <c r="AF18" s="291"/>
      <c r="AG18" s="291"/>
      <c r="AH18" s="291"/>
      <c r="AI18" s="291"/>
      <c r="AJ18" s="291"/>
      <c r="AK18" s="291"/>
      <c r="AL18" s="291"/>
      <c r="AM18" s="291"/>
      <c r="AN18" s="291"/>
      <c r="AO18" s="291"/>
      <c r="AP18" s="291"/>
      <c r="AQ18" s="291"/>
      <c r="AR18" s="291"/>
      <c r="AS18" s="291"/>
      <c r="AT18" s="291"/>
      <c r="AU18" s="291"/>
      <c r="AV18" s="291"/>
      <c r="AW18" s="291"/>
      <c r="AX18" s="291"/>
      <c r="AY18" s="291"/>
      <c r="AZ18" s="291"/>
      <c r="BA18" s="291"/>
      <c r="BB18" s="291"/>
      <c r="BC18" s="291"/>
    </row>
    <row r="19" spans="1:55" ht="15" x14ac:dyDescent="0.2">
      <c r="A19" s="359" t="s">
        <v>78</v>
      </c>
      <c r="B19" s="391"/>
      <c r="C19" s="392" t="s">
        <v>201</v>
      </c>
      <c r="D19" s="360" t="s">
        <v>10</v>
      </c>
      <c r="E19" s="342"/>
      <c r="F19" s="342"/>
      <c r="G19" s="342"/>
      <c r="H19" s="385"/>
      <c r="I19" s="291"/>
      <c r="J19" s="274"/>
      <c r="K19" s="275" t="s">
        <v>158</v>
      </c>
      <c r="L19" s="248">
        <v>0.75604989282236323</v>
      </c>
      <c r="M19" s="248">
        <v>0.72845645185779073</v>
      </c>
      <c r="N19" s="249">
        <v>-3.6496851896328071E-2</v>
      </c>
      <c r="O19" s="457">
        <f>M16^2</f>
        <v>0.29607695154586727</v>
      </c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1"/>
      <c r="BC19" s="291"/>
    </row>
    <row r="20" spans="1:55" ht="13.5" customHeight="1" x14ac:dyDescent="0.2">
      <c r="A20" s="386" t="s">
        <v>239</v>
      </c>
      <c r="B20" s="196">
        <v>2</v>
      </c>
      <c r="C20" s="393" t="s">
        <v>200</v>
      </c>
      <c r="D20" s="298"/>
      <c r="E20" s="299"/>
      <c r="F20" s="294"/>
      <c r="G20" s="299"/>
      <c r="H20" s="347"/>
      <c r="I20" s="291"/>
      <c r="J20" s="274"/>
      <c r="K20" s="275" t="s">
        <v>87</v>
      </c>
      <c r="L20" s="248">
        <v>1.0089845566826987</v>
      </c>
      <c r="M20" s="248">
        <v>1.0086744960058756</v>
      </c>
      <c r="N20" s="249">
        <v>3.0729972502508833E-4</v>
      </c>
      <c r="O20" s="291">
        <f>L19^2*O19</f>
        <v>0.16924097275324229</v>
      </c>
      <c r="P20" s="291"/>
      <c r="Q20" s="291"/>
      <c r="R20" s="291"/>
      <c r="S20" s="291"/>
      <c r="T20" s="291"/>
      <c r="U20" s="291"/>
      <c r="V20" s="291"/>
      <c r="W20" s="291"/>
      <c r="X20" s="291"/>
      <c r="Y20" s="291"/>
      <c r="Z20" s="291"/>
      <c r="AA20" s="291"/>
      <c r="AB20" s="291"/>
      <c r="AC20" s="291"/>
      <c r="AD20" s="291"/>
      <c r="AE20" s="291"/>
      <c r="AF20" s="291"/>
      <c r="AG20" s="291"/>
      <c r="AH20" s="291"/>
      <c r="AI20" s="291"/>
      <c r="AJ20" s="291"/>
      <c r="AK20" s="291"/>
      <c r="AL20" s="291"/>
      <c r="AM20" s="291"/>
      <c r="AN20" s="291"/>
      <c r="AO20" s="291"/>
      <c r="AP20" s="291"/>
      <c r="AQ20" s="291"/>
      <c r="AR20" s="291"/>
      <c r="AS20" s="291"/>
      <c r="AT20" s="291"/>
      <c r="AU20" s="291"/>
      <c r="AV20" s="291"/>
      <c r="AW20" s="291"/>
      <c r="AX20" s="291"/>
      <c r="AY20" s="291"/>
      <c r="AZ20" s="291"/>
      <c r="BA20" s="291"/>
      <c r="BB20" s="291"/>
      <c r="BC20" s="291"/>
    </row>
    <row r="21" spans="1:55" ht="15" x14ac:dyDescent="0.2">
      <c r="A21" s="317"/>
      <c r="B21" s="307" t="s">
        <v>2</v>
      </c>
      <c r="C21" s="307" t="s">
        <v>2</v>
      </c>
      <c r="D21" s="307" t="s">
        <v>2</v>
      </c>
      <c r="E21" s="388" t="s">
        <v>167</v>
      </c>
      <c r="F21" s="367"/>
      <c r="G21" s="307" t="s">
        <v>2</v>
      </c>
      <c r="H21" s="389"/>
      <c r="I21" s="291"/>
      <c r="J21" s="276"/>
      <c r="K21" s="277" t="s">
        <v>88</v>
      </c>
      <c r="L21" s="250">
        <v>1.0103053723579822</v>
      </c>
      <c r="M21" s="250">
        <v>1.0097929579855027</v>
      </c>
      <c r="N21" s="251">
        <v>5.0718761524901025E-4</v>
      </c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291"/>
      <c r="AA21" s="291"/>
      <c r="AB21" s="291"/>
      <c r="AC21" s="291"/>
      <c r="AD21" s="291"/>
      <c r="AE21" s="291"/>
      <c r="AF21" s="291"/>
      <c r="AG21" s="291"/>
      <c r="AH21" s="291"/>
      <c r="AI21" s="291"/>
      <c r="AJ21" s="291"/>
      <c r="AK21" s="291"/>
      <c r="AL21" s="291"/>
      <c r="AM21" s="291"/>
      <c r="AN21" s="291"/>
      <c r="AO21" s="291"/>
      <c r="AP21" s="291"/>
      <c r="AQ21" s="291"/>
      <c r="AR21" s="291"/>
      <c r="AS21" s="291"/>
      <c r="AT21" s="291"/>
      <c r="AU21" s="291"/>
      <c r="AV21" s="291"/>
      <c r="AW21" s="291"/>
      <c r="AX21" s="291"/>
      <c r="AY21" s="291"/>
      <c r="AZ21" s="291"/>
      <c r="BA21" s="291"/>
      <c r="BB21" s="291"/>
      <c r="BC21" s="291"/>
    </row>
    <row r="22" spans="1:55" ht="14.25" x14ac:dyDescent="0.2">
      <c r="A22" s="368" t="s">
        <v>79</v>
      </c>
      <c r="B22" s="362" t="s">
        <v>198</v>
      </c>
      <c r="C22" s="341" t="s">
        <v>56</v>
      </c>
      <c r="D22" s="341" t="s">
        <v>56</v>
      </c>
      <c r="E22" s="341" t="s">
        <v>56</v>
      </c>
      <c r="F22" s="307" t="s">
        <v>202</v>
      </c>
      <c r="G22" s="294" t="s">
        <v>142</v>
      </c>
      <c r="H22" s="389" t="s">
        <v>204</v>
      </c>
      <c r="I22" s="291"/>
      <c r="J22" s="252"/>
      <c r="K22" s="252"/>
      <c r="L22" s="252" t="s">
        <v>215</v>
      </c>
      <c r="M22" s="253"/>
      <c r="N22" s="252"/>
      <c r="O22" s="252" t="s">
        <v>217</v>
      </c>
      <c r="P22" s="253"/>
      <c r="Q22" s="252" t="s">
        <v>130</v>
      </c>
      <c r="R22" s="253"/>
      <c r="S22" s="278" t="s">
        <v>129</v>
      </c>
      <c r="T22" s="253"/>
      <c r="U22" s="4"/>
      <c r="V22" s="291"/>
      <c r="W22" s="291"/>
      <c r="X22" s="291"/>
      <c r="Y22" s="291"/>
      <c r="Z22" s="291"/>
      <c r="AA22" s="291"/>
      <c r="AB22" s="291"/>
      <c r="AC22" s="291"/>
      <c r="AD22" s="291"/>
      <c r="AE22" s="291"/>
      <c r="AF22" s="291"/>
      <c r="AG22" s="291"/>
      <c r="AH22" s="291"/>
      <c r="AI22" s="291"/>
      <c r="AJ22" s="291"/>
      <c r="AK22" s="291"/>
      <c r="AL22" s="291"/>
      <c r="AM22" s="291"/>
      <c r="AN22" s="291"/>
      <c r="AO22" s="291"/>
      <c r="AP22" s="291"/>
      <c r="AQ22" s="291"/>
      <c r="AR22" s="291"/>
      <c r="AS22" s="291"/>
      <c r="AT22" s="291"/>
      <c r="AU22" s="291"/>
      <c r="AV22" s="291"/>
      <c r="AW22" s="291"/>
      <c r="AX22" s="291"/>
      <c r="AY22" s="291"/>
      <c r="AZ22" s="291"/>
      <c r="BA22" s="291"/>
      <c r="BB22" s="291"/>
      <c r="BC22" s="291"/>
    </row>
    <row r="23" spans="1:55" x14ac:dyDescent="0.2">
      <c r="A23" s="335"/>
      <c r="B23" s="298"/>
      <c r="C23" s="346" t="s">
        <v>176</v>
      </c>
      <c r="D23" s="346" t="s">
        <v>91</v>
      </c>
      <c r="E23" s="346" t="s">
        <v>207</v>
      </c>
      <c r="F23" s="423" t="s">
        <v>203</v>
      </c>
      <c r="G23" s="345" t="s">
        <v>206</v>
      </c>
      <c r="H23" s="389" t="s">
        <v>205</v>
      </c>
      <c r="I23" s="291"/>
      <c r="J23" s="253"/>
      <c r="K23" s="253"/>
      <c r="L23" s="252" t="s">
        <v>216</v>
      </c>
      <c r="M23" s="253"/>
      <c r="N23" s="252"/>
      <c r="O23" s="255" t="s">
        <v>218</v>
      </c>
      <c r="P23" s="187"/>
      <c r="Q23" s="256" t="s">
        <v>157</v>
      </c>
      <c r="R23" s="187"/>
      <c r="S23" s="256" t="s">
        <v>126</v>
      </c>
      <c r="T23" s="187"/>
      <c r="U23" s="291"/>
      <c r="V23" s="291"/>
      <c r="W23" s="291"/>
      <c r="X23" s="291"/>
      <c r="Y23" s="291"/>
      <c r="Z23" s="291"/>
      <c r="AA23" s="291"/>
      <c r="AB23" s="291"/>
      <c r="AC23" s="291"/>
      <c r="AD23" s="291"/>
      <c r="AE23" s="291"/>
      <c r="AF23" s="291"/>
      <c r="AG23" s="291"/>
      <c r="AH23" s="291"/>
      <c r="AI23" s="291"/>
      <c r="AJ23" s="291"/>
      <c r="AK23" s="291"/>
      <c r="AL23" s="291"/>
      <c r="AM23" s="291"/>
      <c r="AN23" s="291"/>
      <c r="AO23" s="291"/>
      <c r="AP23" s="291"/>
      <c r="AQ23" s="291"/>
      <c r="AR23" s="291"/>
      <c r="AS23" s="291"/>
      <c r="AT23" s="291"/>
      <c r="AU23" s="291"/>
      <c r="AV23" s="291"/>
      <c r="AW23" s="291"/>
      <c r="AX23" s="291"/>
      <c r="AY23" s="291"/>
      <c r="AZ23" s="291"/>
      <c r="BA23" s="291"/>
      <c r="BB23" s="291"/>
      <c r="BC23" s="291"/>
    </row>
    <row r="24" spans="1:55" x14ac:dyDescent="0.2">
      <c r="A24" s="363" t="s">
        <v>131</v>
      </c>
      <c r="B24" s="364" t="s">
        <v>86</v>
      </c>
      <c r="C24" s="371">
        <v>1</v>
      </c>
      <c r="D24" s="371">
        <v>1</v>
      </c>
      <c r="E24" s="298"/>
      <c r="F24" s="299"/>
      <c r="G24" s="358"/>
      <c r="H24" s="365"/>
      <c r="I24" s="291"/>
      <c r="J24" s="255" t="s">
        <v>2</v>
      </c>
      <c r="K24" s="255" t="s">
        <v>62</v>
      </c>
      <c r="L24" s="255" t="str">
        <f>L17</f>
        <v>Previous Run</v>
      </c>
      <c r="M24" s="255" t="str">
        <f>M17</f>
        <v>Latest Run</v>
      </c>
      <c r="N24" s="255" t="s">
        <v>121</v>
      </c>
      <c r="O24" s="255" t="str">
        <f>L24</f>
        <v>Previous Run</v>
      </c>
      <c r="P24" s="255" t="str">
        <f>M24</f>
        <v>Latest Run</v>
      </c>
      <c r="Q24" s="255" t="str">
        <f>L24</f>
        <v>Previous Run</v>
      </c>
      <c r="R24" s="255" t="str">
        <f>M24</f>
        <v>Latest Run</v>
      </c>
      <c r="S24" s="255" t="str">
        <f>L24</f>
        <v>Previous Run</v>
      </c>
      <c r="T24" s="255" t="str">
        <f>M24</f>
        <v>Latest Run</v>
      </c>
      <c r="U24" s="291"/>
      <c r="V24" s="291"/>
      <c r="W24" s="291"/>
      <c r="X24" s="291"/>
      <c r="Y24" s="291"/>
      <c r="Z24" s="291"/>
      <c r="AA24" s="291"/>
      <c r="AB24" s="291"/>
      <c r="AC24" s="291"/>
      <c r="AD24" s="291"/>
      <c r="AE24" s="291"/>
      <c r="AF24" s="291"/>
      <c r="AG24" s="291"/>
      <c r="AH24" s="291"/>
      <c r="AI24" s="291"/>
      <c r="AJ24" s="291"/>
      <c r="AK24" s="291"/>
      <c r="AL24" s="291"/>
      <c r="AM24" s="291"/>
      <c r="AN24" s="291"/>
      <c r="AO24" s="291"/>
      <c r="AP24" s="291"/>
      <c r="AQ24" s="291"/>
      <c r="AR24" s="291"/>
      <c r="AS24" s="291"/>
      <c r="AT24" s="291"/>
      <c r="AU24" s="291"/>
      <c r="AV24" s="291"/>
      <c r="AW24" s="291"/>
      <c r="AX24" s="291"/>
      <c r="AY24" s="291"/>
      <c r="AZ24" s="291"/>
      <c r="BA24" s="291"/>
      <c r="BB24" s="291"/>
      <c r="BC24" s="291"/>
    </row>
    <row r="25" spans="1:55" x14ac:dyDescent="0.2">
      <c r="A25" s="213" t="s">
        <v>235</v>
      </c>
      <c r="B25" s="213" t="s">
        <v>237</v>
      </c>
      <c r="C25" s="372">
        <v>1</v>
      </c>
      <c r="D25" s="372">
        <v>1</v>
      </c>
      <c r="E25" s="372">
        <v>0.2</v>
      </c>
      <c r="F25" s="194">
        <v>1</v>
      </c>
      <c r="G25" s="372">
        <v>1</v>
      </c>
      <c r="H25" s="374">
        <v>0.64</v>
      </c>
      <c r="I25" s="291"/>
      <c r="J25" s="193" t="s">
        <v>237</v>
      </c>
      <c r="K25" s="193"/>
      <c r="L25" s="194">
        <v>0.83287100819125803</v>
      </c>
      <c r="M25" s="194">
        <v>0.82773311531452076</v>
      </c>
      <c r="N25" s="437">
        <v>-6.1688938937797923E-3</v>
      </c>
      <c r="O25" s="425">
        <v>0.83</v>
      </c>
      <c r="P25" s="438">
        <v>0.82773311531452076</v>
      </c>
      <c r="Q25" s="194">
        <v>0.84470735231110217</v>
      </c>
      <c r="R25" s="194">
        <v>0.84539585856402322</v>
      </c>
      <c r="S25" s="194">
        <v>0.84440727209049937</v>
      </c>
      <c r="T25" s="194">
        <v>0.84550699391499007</v>
      </c>
      <c r="U25" s="291">
        <f>T25/S25</f>
        <v>1.0013023594903063</v>
      </c>
      <c r="V25" s="291"/>
      <c r="W25" s="291"/>
      <c r="X25" s="291"/>
      <c r="Y25" s="291"/>
      <c r="Z25" s="291"/>
      <c r="AA25" s="291"/>
      <c r="AB25" s="291"/>
      <c r="AC25" s="291"/>
      <c r="AD25" s="291"/>
      <c r="AE25" s="291"/>
      <c r="AF25" s="291"/>
      <c r="AG25" s="291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</row>
    <row r="26" spans="1:55" x14ac:dyDescent="0.2">
      <c r="A26" s="213" t="s">
        <v>236</v>
      </c>
      <c r="B26" s="213" t="s">
        <v>238</v>
      </c>
      <c r="C26" s="372">
        <v>1</v>
      </c>
      <c r="D26" s="372">
        <v>1</v>
      </c>
      <c r="E26" s="372">
        <v>0.2</v>
      </c>
      <c r="F26" s="194">
        <v>1</v>
      </c>
      <c r="G26" s="372">
        <v>0</v>
      </c>
      <c r="H26" s="374">
        <v>0.64</v>
      </c>
      <c r="I26" s="291"/>
      <c r="J26" s="193" t="s">
        <v>238</v>
      </c>
      <c r="K26" s="193"/>
      <c r="L26" s="194">
        <v>4.4741375269909525E-2</v>
      </c>
      <c r="M26" s="194">
        <v>-8.2861479534435095E-2</v>
      </c>
      <c r="N26" s="437">
        <v>-2.8520101144535666</v>
      </c>
      <c r="O26" s="425">
        <v>0.04</v>
      </c>
      <c r="P26" s="438">
        <v>-8.2861479534435095E-2</v>
      </c>
      <c r="Q26" s="194">
        <v>0.4245546844953586</v>
      </c>
      <c r="R26" s="194">
        <v>0.47331356532440144</v>
      </c>
      <c r="S26" s="194">
        <v>0.42366576280004076</v>
      </c>
      <c r="T26" s="194">
        <v>0.47275796932072661</v>
      </c>
      <c r="U26" s="291"/>
      <c r="V26" s="291"/>
      <c r="W26" s="291"/>
      <c r="X26" s="291"/>
      <c r="Y26" s="291"/>
      <c r="Z26" s="291"/>
      <c r="AA26" s="291"/>
      <c r="AB26" s="291"/>
      <c r="AC26" s="291"/>
      <c r="AD26" s="291"/>
      <c r="AE26" s="291"/>
      <c r="AF26" s="291"/>
      <c r="AG26" s="291"/>
      <c r="AH26" s="291"/>
      <c r="AI26" s="291"/>
      <c r="AJ26" s="291"/>
      <c r="AK26" s="291"/>
      <c r="AL26" s="291"/>
      <c r="AM26" s="291"/>
      <c r="AN26" s="291"/>
      <c r="AO26" s="291"/>
      <c r="AP26" s="291"/>
      <c r="AQ26" s="291"/>
      <c r="AR26" s="291"/>
      <c r="AS26" s="291"/>
      <c r="AT26" s="291"/>
      <c r="AU26" s="291"/>
      <c r="AV26" s="291"/>
      <c r="AW26" s="291"/>
      <c r="AX26" s="291"/>
      <c r="AY26" s="291"/>
      <c r="AZ26" s="291"/>
      <c r="BA26" s="291"/>
      <c r="BB26" s="291"/>
      <c r="BC26" s="291"/>
    </row>
    <row r="27" spans="1:55" x14ac:dyDescent="0.2">
      <c r="A27" s="380"/>
      <c r="B27" s="373"/>
      <c r="C27" s="372"/>
      <c r="D27" s="372"/>
      <c r="E27" s="372"/>
      <c r="F27" s="194"/>
      <c r="G27" s="372"/>
      <c r="H27" s="435"/>
      <c r="I27" s="291"/>
      <c r="J27" s="193" t="s">
        <v>239</v>
      </c>
      <c r="K27" s="193" t="s">
        <v>122</v>
      </c>
      <c r="L27" s="194">
        <v>0.87761238346116754</v>
      </c>
      <c r="M27" s="194">
        <v>0.74487163578008564</v>
      </c>
      <c r="N27" s="437">
        <v>-0.15125213611682747</v>
      </c>
      <c r="O27" s="425">
        <v>0.87761238346116754</v>
      </c>
      <c r="P27" s="438">
        <v>0.74487163578008564</v>
      </c>
      <c r="Q27" s="194">
        <v>0.75604989282236323</v>
      </c>
      <c r="R27" s="194">
        <v>0.72845645185779073</v>
      </c>
      <c r="S27" s="194">
        <v>0.75540866878142088</v>
      </c>
      <c r="T27" s="194">
        <v>0.72817914977259168</v>
      </c>
      <c r="U27" s="291"/>
      <c r="V27" s="291"/>
      <c r="W27" s="291"/>
      <c r="X27" s="291"/>
      <c r="Y27" s="291"/>
      <c r="Z27" s="291"/>
      <c r="AA27" s="291"/>
      <c r="AB27" s="291"/>
      <c r="AC27" s="291"/>
      <c r="AD27" s="291"/>
      <c r="AE27" s="291"/>
      <c r="AF27" s="291"/>
      <c r="AG27" s="291"/>
      <c r="AH27" s="291"/>
      <c r="AI27" s="291"/>
      <c r="AJ27" s="291"/>
      <c r="AK27" s="291"/>
      <c r="AL27" s="291"/>
      <c r="AM27" s="291"/>
      <c r="AN27" s="291"/>
      <c r="AO27" s="291"/>
      <c r="AP27" s="291"/>
      <c r="AQ27" s="291"/>
      <c r="AR27" s="291"/>
      <c r="AS27" s="291"/>
      <c r="AT27" s="291"/>
      <c r="AU27" s="291"/>
      <c r="AV27" s="291"/>
      <c r="AW27" s="291"/>
      <c r="AX27" s="291"/>
      <c r="AY27" s="291"/>
      <c r="AZ27" s="291"/>
      <c r="BA27" s="291"/>
      <c r="BB27" s="291"/>
      <c r="BC27" s="291"/>
    </row>
    <row r="28" spans="1:55" x14ac:dyDescent="0.2">
      <c r="A28" s="223"/>
      <c r="B28" s="373"/>
      <c r="C28" s="372"/>
      <c r="D28" s="372"/>
      <c r="E28" s="372"/>
      <c r="F28" s="194"/>
      <c r="G28" s="372"/>
      <c r="H28" s="435"/>
      <c r="I28" s="291"/>
      <c r="J28" s="193"/>
      <c r="K28" s="193"/>
      <c r="L28" s="194"/>
      <c r="M28" s="194"/>
      <c r="N28" s="437"/>
      <c r="O28" s="425"/>
      <c r="P28" s="438"/>
      <c r="Q28" s="194"/>
      <c r="R28" s="194"/>
      <c r="S28" s="194"/>
      <c r="T28" s="194"/>
      <c r="U28" s="291"/>
      <c r="V28" s="291"/>
      <c r="W28" s="291"/>
      <c r="X28" s="291"/>
      <c r="Y28" s="291"/>
      <c r="Z28" s="291"/>
      <c r="AA28" s="291"/>
      <c r="AB28" s="291"/>
      <c r="AC28" s="291"/>
      <c r="AD28" s="291"/>
      <c r="AE28" s="291"/>
      <c r="AF28" s="291"/>
      <c r="AG28" s="291"/>
      <c r="AH28" s="291"/>
      <c r="AI28" s="291"/>
      <c r="AJ28" s="291"/>
      <c r="AK28" s="291"/>
      <c r="AL28" s="291"/>
      <c r="AM28" s="291"/>
      <c r="AN28" s="291"/>
      <c r="AO28" s="291"/>
      <c r="AP28" s="291"/>
      <c r="AQ28" s="291"/>
      <c r="AR28" s="291"/>
      <c r="AS28" s="291"/>
      <c r="AT28" s="291"/>
      <c r="AU28" s="291"/>
      <c r="AV28" s="291"/>
      <c r="AW28" s="291"/>
      <c r="AX28" s="291"/>
      <c r="AY28" s="291"/>
      <c r="AZ28" s="291"/>
      <c r="BA28" s="291"/>
      <c r="BB28" s="291"/>
      <c r="BC28" s="291"/>
    </row>
    <row r="29" spans="1:55" x14ac:dyDescent="0.2">
      <c r="A29" s="223"/>
      <c r="B29" s="373"/>
      <c r="C29" s="372"/>
      <c r="D29" s="372"/>
      <c r="E29" s="372"/>
      <c r="F29" s="194"/>
      <c r="G29" s="372"/>
      <c r="H29" s="435"/>
      <c r="I29" s="291"/>
      <c r="J29" s="193"/>
      <c r="K29" s="193"/>
      <c r="L29" s="194"/>
      <c r="M29" s="194"/>
      <c r="N29" s="437"/>
      <c r="O29" s="425"/>
      <c r="P29" s="438"/>
      <c r="Q29" s="194"/>
      <c r="R29" s="194"/>
      <c r="S29" s="194"/>
      <c r="T29" s="194"/>
      <c r="U29" s="291"/>
      <c r="V29" s="291"/>
      <c r="W29" s="291"/>
      <c r="X29" s="291"/>
      <c r="Y29" s="291"/>
      <c r="Z29" s="291"/>
      <c r="AA29" s="291"/>
      <c r="AB29" s="291"/>
      <c r="AC29" s="291"/>
      <c r="AD29" s="291"/>
      <c r="AE29" s="291"/>
      <c r="AF29" s="291"/>
      <c r="AG29" s="291"/>
      <c r="AH29" s="291"/>
      <c r="AI29" s="291"/>
      <c r="AJ29" s="291"/>
      <c r="AK29" s="291"/>
      <c r="AL29" s="291"/>
      <c r="AM29" s="291"/>
      <c r="AN29" s="291"/>
      <c r="AO29" s="291"/>
      <c r="AP29" s="291"/>
      <c r="AQ29" s="291"/>
      <c r="AR29" s="291"/>
      <c r="AS29" s="291"/>
      <c r="AT29" s="291"/>
      <c r="AU29" s="291"/>
      <c r="AV29" s="291"/>
      <c r="AW29" s="291"/>
      <c r="AX29" s="291"/>
      <c r="AY29" s="291"/>
      <c r="AZ29" s="291"/>
      <c r="BA29" s="291"/>
      <c r="BB29" s="291"/>
      <c r="BC29" s="291"/>
    </row>
    <row r="30" spans="1:55" x14ac:dyDescent="0.2">
      <c r="A30" s="380"/>
      <c r="B30" s="373"/>
      <c r="C30" s="372"/>
      <c r="D30" s="372"/>
      <c r="E30" s="372"/>
      <c r="F30" s="194"/>
      <c r="G30" s="372"/>
      <c r="H30" s="435"/>
      <c r="I30" s="291"/>
      <c r="J30" s="193"/>
      <c r="K30" s="193"/>
      <c r="L30" s="194"/>
      <c r="M30" s="194"/>
      <c r="N30" s="437"/>
      <c r="O30" s="425"/>
      <c r="P30" s="438"/>
      <c r="Q30" s="194"/>
      <c r="R30" s="194"/>
      <c r="S30" s="194"/>
      <c r="T30" s="195"/>
      <c r="U30" s="291"/>
      <c r="V30" s="291"/>
      <c r="W30" s="291"/>
      <c r="X30" s="291"/>
      <c r="Y30" s="291"/>
      <c r="Z30" s="291"/>
      <c r="AA30" s="291"/>
      <c r="AB30" s="291"/>
      <c r="AC30" s="291"/>
      <c r="AD30" s="291"/>
      <c r="AE30" s="291"/>
      <c r="AF30" s="291"/>
      <c r="AG30" s="291"/>
      <c r="AH30" s="291"/>
      <c r="AI30" s="291"/>
      <c r="AJ30" s="291"/>
      <c r="AK30" s="291"/>
      <c r="AL30" s="291"/>
      <c r="AM30" s="291"/>
      <c r="AN30" s="291"/>
      <c r="AO30" s="291"/>
      <c r="AP30" s="291"/>
      <c r="AQ30" s="291"/>
      <c r="AR30" s="291"/>
      <c r="AS30" s="291"/>
      <c r="AT30" s="291"/>
      <c r="AU30" s="291"/>
      <c r="AV30" s="291"/>
      <c r="AW30" s="291"/>
      <c r="AX30" s="291"/>
      <c r="AY30" s="291"/>
      <c r="AZ30" s="291"/>
      <c r="BA30" s="291"/>
      <c r="BB30" s="291"/>
      <c r="BC30" s="291"/>
    </row>
    <row r="31" spans="1:55" x14ac:dyDescent="0.2">
      <c r="A31" s="223"/>
      <c r="B31" s="373"/>
      <c r="C31" s="372"/>
      <c r="D31" s="372"/>
      <c r="E31" s="372"/>
      <c r="F31" s="194"/>
      <c r="G31" s="372"/>
      <c r="H31" s="435"/>
      <c r="I31" s="291"/>
      <c r="J31" s="193"/>
      <c r="K31" s="193"/>
      <c r="L31" s="194"/>
      <c r="M31" s="194"/>
      <c r="N31" s="437"/>
      <c r="O31" s="425"/>
      <c r="P31" s="438"/>
      <c r="Q31" s="194"/>
      <c r="R31" s="194"/>
      <c r="S31" s="194"/>
      <c r="T31" s="195"/>
      <c r="U31" s="291"/>
      <c r="V31" s="291"/>
      <c r="W31" s="291"/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</row>
    <row r="32" spans="1:55" x14ac:dyDescent="0.2">
      <c r="A32" s="223"/>
      <c r="B32" s="373"/>
      <c r="C32" s="372"/>
      <c r="D32" s="372"/>
      <c r="E32" s="372"/>
      <c r="F32" s="194"/>
      <c r="G32" s="372"/>
      <c r="H32" s="435"/>
      <c r="I32" s="291"/>
      <c r="J32" s="193"/>
      <c r="K32" s="193"/>
      <c r="L32" s="194"/>
      <c r="M32" s="194"/>
      <c r="N32" s="437"/>
      <c r="O32" s="425"/>
      <c r="P32" s="438"/>
      <c r="Q32" s="194"/>
      <c r="R32" s="194"/>
      <c r="S32" s="194"/>
      <c r="T32" s="195"/>
      <c r="U32" s="291"/>
      <c r="V32" s="291"/>
      <c r="W32" s="291"/>
      <c r="X32" s="291"/>
      <c r="Y32" s="291"/>
      <c r="Z32" s="291"/>
      <c r="AA32" s="291"/>
      <c r="AB32" s="291"/>
      <c r="AC32" s="291"/>
      <c r="AD32" s="291"/>
      <c r="AE32" s="291"/>
      <c r="AF32" s="291"/>
      <c r="AG32" s="291"/>
      <c r="AH32" s="291"/>
      <c r="AI32" s="291"/>
      <c r="AJ32" s="291"/>
      <c r="AK32" s="291"/>
      <c r="AL32" s="291"/>
      <c r="AM32" s="291"/>
      <c r="AN32" s="291"/>
      <c r="AO32" s="291"/>
      <c r="AP32" s="291"/>
      <c r="AQ32" s="291"/>
      <c r="AR32" s="291"/>
      <c r="AS32" s="291"/>
      <c r="AT32" s="291"/>
      <c r="AU32" s="291"/>
      <c r="AV32" s="291"/>
      <c r="AW32" s="291"/>
      <c r="AX32" s="291"/>
      <c r="AY32" s="291"/>
      <c r="AZ32" s="291"/>
      <c r="BA32" s="291"/>
      <c r="BB32" s="291"/>
      <c r="BC32" s="291"/>
    </row>
    <row r="33" spans="1:55" x14ac:dyDescent="0.2">
      <c r="A33" s="223"/>
      <c r="B33" s="373"/>
      <c r="C33" s="372"/>
      <c r="D33" s="372"/>
      <c r="E33" s="372"/>
      <c r="F33" s="194"/>
      <c r="G33" s="372"/>
      <c r="H33" s="435"/>
      <c r="I33" s="291"/>
      <c r="J33" s="390"/>
      <c r="K33" s="390"/>
      <c r="L33" s="439"/>
      <c r="M33" s="194"/>
      <c r="N33" s="437"/>
      <c r="O33" s="425"/>
      <c r="P33" s="438"/>
      <c r="Q33" s="194"/>
      <c r="R33" s="194"/>
      <c r="S33" s="194"/>
      <c r="T33" s="195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</row>
    <row r="34" spans="1:55" x14ac:dyDescent="0.2">
      <c r="A34" s="381"/>
      <c r="B34" s="373"/>
      <c r="C34" s="372"/>
      <c r="D34" s="372"/>
      <c r="E34" s="372"/>
      <c r="F34" s="194"/>
      <c r="G34" s="372"/>
      <c r="H34" s="435"/>
      <c r="I34" s="291"/>
      <c r="J34" s="193"/>
      <c r="K34" s="193"/>
      <c r="L34" s="194"/>
      <c r="M34" s="194"/>
      <c r="N34" s="437"/>
      <c r="O34" s="425"/>
      <c r="P34" s="438"/>
      <c r="Q34" s="194"/>
      <c r="R34" s="194"/>
      <c r="S34" s="194"/>
      <c r="T34" s="195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</row>
    <row r="35" spans="1:55" x14ac:dyDescent="0.2">
      <c r="A35" s="382"/>
      <c r="B35" s="373"/>
      <c r="C35" s="372"/>
      <c r="D35" s="372"/>
      <c r="E35" s="372"/>
      <c r="F35" s="194"/>
      <c r="G35" s="372"/>
      <c r="H35" s="435"/>
      <c r="I35" s="291"/>
      <c r="J35" s="441"/>
      <c r="K35" s="440"/>
      <c r="L35" s="194"/>
      <c r="M35" s="194"/>
      <c r="N35" s="437"/>
      <c r="O35" s="425"/>
      <c r="P35" s="438"/>
      <c r="Q35" s="194"/>
      <c r="R35" s="194"/>
      <c r="S35" s="194"/>
      <c r="T35" s="195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</row>
    <row r="36" spans="1:55" x14ac:dyDescent="0.2">
      <c r="A36" s="223"/>
      <c r="B36" s="373"/>
      <c r="C36" s="372"/>
      <c r="D36" s="372"/>
      <c r="E36" s="372"/>
      <c r="F36" s="194"/>
      <c r="G36" s="372"/>
      <c r="H36" s="435"/>
      <c r="I36" s="291"/>
      <c r="J36" s="193"/>
      <c r="K36" s="390"/>
      <c r="L36" s="194"/>
      <c r="M36" s="194"/>
      <c r="N36" s="437"/>
      <c r="O36" s="425"/>
      <c r="P36" s="438"/>
      <c r="Q36" s="194"/>
      <c r="R36" s="194"/>
      <c r="S36" s="194"/>
      <c r="T36" s="195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</row>
    <row r="37" spans="1:55" x14ac:dyDescent="0.2">
      <c r="A37" s="223"/>
      <c r="B37" s="373"/>
      <c r="C37" s="372"/>
      <c r="D37" s="372"/>
      <c r="E37" s="372"/>
      <c r="F37" s="194"/>
      <c r="G37" s="372"/>
      <c r="H37" s="435"/>
      <c r="I37" s="291"/>
      <c r="J37" s="193"/>
      <c r="K37" s="193"/>
      <c r="L37" s="194"/>
      <c r="M37" s="194"/>
      <c r="N37" s="437"/>
      <c r="O37" s="425"/>
      <c r="P37" s="438"/>
      <c r="Q37" s="194"/>
      <c r="R37" s="194"/>
      <c r="S37" s="194"/>
      <c r="T37" s="195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</row>
    <row r="38" spans="1:55" x14ac:dyDescent="0.2">
      <c r="A38" s="223"/>
      <c r="B38" s="373"/>
      <c r="C38" s="372"/>
      <c r="D38" s="372"/>
      <c r="E38" s="372"/>
      <c r="F38" s="194"/>
      <c r="G38" s="372"/>
      <c r="H38" s="435"/>
      <c r="I38" s="291"/>
      <c r="J38" s="193"/>
      <c r="K38" s="193"/>
      <c r="L38" s="194"/>
      <c r="M38" s="194"/>
      <c r="N38" s="437"/>
      <c r="O38" s="425"/>
      <c r="P38" s="438"/>
      <c r="Q38" s="194"/>
      <c r="R38" s="194"/>
      <c r="S38" s="194"/>
      <c r="T38" s="195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</row>
    <row r="39" spans="1:55" x14ac:dyDescent="0.2">
      <c r="A39" s="223"/>
      <c r="B39" s="373"/>
      <c r="C39" s="372"/>
      <c r="D39" s="372"/>
      <c r="E39" s="372"/>
      <c r="F39" s="194"/>
      <c r="G39" s="372"/>
      <c r="H39" s="435"/>
      <c r="I39" s="291"/>
      <c r="J39" s="193"/>
      <c r="K39" s="193"/>
      <c r="L39" s="194"/>
      <c r="M39" s="194"/>
      <c r="N39" s="437"/>
      <c r="O39" s="425"/>
      <c r="P39" s="438"/>
      <c r="Q39" s="194"/>
      <c r="R39" s="194"/>
      <c r="S39" s="194"/>
      <c r="T39" s="195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</row>
    <row r="40" spans="1:55" x14ac:dyDescent="0.2">
      <c r="A40" s="223"/>
      <c r="B40" s="373"/>
      <c r="C40" s="372"/>
      <c r="D40" s="372"/>
      <c r="E40" s="372"/>
      <c r="F40" s="194"/>
      <c r="G40" s="372"/>
      <c r="H40" s="435"/>
      <c r="I40" s="291"/>
      <c r="J40" s="193"/>
      <c r="K40" s="193"/>
      <c r="L40" s="194"/>
      <c r="M40" s="194"/>
      <c r="N40" s="437"/>
      <c r="O40" s="425"/>
      <c r="P40" s="438"/>
      <c r="Q40" s="194"/>
      <c r="R40" s="194"/>
      <c r="S40" s="194"/>
      <c r="T40" s="194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</row>
    <row r="41" spans="1:55" x14ac:dyDescent="0.2">
      <c r="A41" s="223"/>
      <c r="B41" s="373"/>
      <c r="C41" s="372"/>
      <c r="D41" s="372"/>
      <c r="E41" s="372"/>
      <c r="F41" s="194"/>
      <c r="G41" s="372"/>
      <c r="H41" s="435"/>
      <c r="I41" s="291"/>
      <c r="J41" s="193"/>
      <c r="K41" s="193"/>
      <c r="L41" s="194"/>
      <c r="M41" s="194"/>
      <c r="N41" s="437"/>
      <c r="O41" s="425"/>
      <c r="P41" s="438"/>
      <c r="Q41" s="194"/>
      <c r="R41" s="194"/>
      <c r="S41" s="194"/>
      <c r="T41" s="194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</row>
    <row r="42" spans="1:55" s="173" customFormat="1" x14ac:dyDescent="0.2">
      <c r="A42" s="223"/>
      <c r="B42" s="373"/>
      <c r="C42" s="372"/>
      <c r="D42" s="372"/>
      <c r="E42" s="372"/>
      <c r="F42" s="194"/>
      <c r="G42" s="372"/>
      <c r="H42" s="435"/>
      <c r="I42" s="291"/>
      <c r="J42" s="193"/>
      <c r="K42" s="193"/>
      <c r="L42" s="194"/>
      <c r="M42" s="194"/>
      <c r="N42" s="437"/>
      <c r="O42" s="425"/>
      <c r="P42" s="438"/>
      <c r="Q42" s="194"/>
      <c r="R42" s="194"/>
      <c r="S42" s="194"/>
      <c r="T42" s="194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</row>
    <row r="43" spans="1:55" s="173" customFormat="1" x14ac:dyDescent="0.2">
      <c r="A43" s="223"/>
      <c r="B43" s="379"/>
      <c r="C43" s="372"/>
      <c r="D43" s="372"/>
      <c r="E43" s="372"/>
      <c r="F43" s="194"/>
      <c r="G43" s="372"/>
      <c r="H43" s="435"/>
      <c r="I43" s="291"/>
      <c r="J43" s="193"/>
      <c r="K43" s="193"/>
      <c r="L43" s="194"/>
      <c r="M43" s="194"/>
      <c r="N43" s="437"/>
      <c r="O43" s="425"/>
      <c r="P43" s="438"/>
      <c r="Q43" s="194"/>
      <c r="R43" s="194"/>
      <c r="S43" s="194"/>
      <c r="T43" s="194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</row>
    <row r="44" spans="1:55" s="173" customFormat="1" x14ac:dyDescent="0.2">
      <c r="A44" s="223"/>
      <c r="B44" s="373"/>
      <c r="C44" s="372"/>
      <c r="D44" s="372"/>
      <c r="E44" s="372"/>
      <c r="F44" s="194"/>
      <c r="G44" s="372"/>
      <c r="H44" s="435"/>
      <c r="I44" s="291"/>
      <c r="J44" s="193"/>
      <c r="K44" s="193"/>
      <c r="L44" s="194"/>
      <c r="M44" s="194"/>
      <c r="N44" s="437"/>
      <c r="O44" s="425"/>
      <c r="P44" s="438"/>
      <c r="Q44" s="194"/>
      <c r="R44" s="194"/>
      <c r="S44" s="194"/>
      <c r="T44" s="194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</row>
    <row r="45" spans="1:55" x14ac:dyDescent="0.2">
      <c r="A45" s="223"/>
      <c r="B45" s="373"/>
      <c r="C45" s="372"/>
      <c r="D45" s="372"/>
      <c r="E45" s="372"/>
      <c r="F45" s="194"/>
      <c r="G45" s="372"/>
      <c r="H45" s="435"/>
      <c r="I45" s="291"/>
      <c r="J45" s="193"/>
      <c r="K45" s="193"/>
      <c r="L45" s="194"/>
      <c r="M45" s="194"/>
      <c r="N45" s="437"/>
      <c r="O45" s="425"/>
      <c r="P45" s="438"/>
      <c r="Q45" s="194"/>
      <c r="R45" s="194"/>
      <c r="S45" s="194"/>
      <c r="T45" s="194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</row>
    <row r="46" spans="1:55" x14ac:dyDescent="0.2">
      <c r="A46" s="223"/>
      <c r="B46" s="373"/>
      <c r="C46" s="372"/>
      <c r="D46" s="372"/>
      <c r="E46" s="372"/>
      <c r="F46" s="194"/>
      <c r="G46" s="372"/>
      <c r="H46" s="435"/>
      <c r="I46" s="291"/>
      <c r="J46" s="193"/>
      <c r="K46" s="193"/>
      <c r="L46" s="194"/>
      <c r="M46" s="194"/>
      <c r="N46" s="437"/>
      <c r="O46" s="425"/>
      <c r="P46" s="438"/>
      <c r="Q46" s="194"/>
      <c r="R46" s="194"/>
      <c r="S46" s="194"/>
      <c r="T46" s="194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</row>
    <row r="47" spans="1:55" x14ac:dyDescent="0.2">
      <c r="A47" s="223"/>
      <c r="B47" s="373"/>
      <c r="C47" s="372"/>
      <c r="D47" s="372"/>
      <c r="E47" s="372"/>
      <c r="F47" s="194"/>
      <c r="G47" s="372"/>
      <c r="H47" s="435"/>
      <c r="I47" s="291"/>
      <c r="J47" s="193"/>
      <c r="K47" s="193"/>
      <c r="L47" s="194"/>
      <c r="M47" s="194"/>
      <c r="N47" s="437"/>
      <c r="O47" s="425"/>
      <c r="P47" s="438"/>
      <c r="Q47" s="194"/>
      <c r="R47" s="194"/>
      <c r="S47" s="194"/>
      <c r="T47" s="194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</row>
    <row r="48" spans="1:55" x14ac:dyDescent="0.2">
      <c r="A48" s="223"/>
      <c r="B48" s="373"/>
      <c r="C48" s="372"/>
      <c r="D48" s="372"/>
      <c r="E48" s="372"/>
      <c r="F48" s="194"/>
      <c r="G48" s="372"/>
      <c r="H48" s="435"/>
      <c r="I48" s="291"/>
      <c r="J48" s="193"/>
      <c r="K48" s="193"/>
      <c r="L48" s="194"/>
      <c r="M48" s="194"/>
      <c r="N48" s="437"/>
      <c r="O48" s="425"/>
      <c r="P48" s="438"/>
      <c r="Q48" s="194"/>
      <c r="R48" s="194"/>
      <c r="S48" s="194"/>
      <c r="T48" s="194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</row>
    <row r="49" spans="1:55" x14ac:dyDescent="0.2">
      <c r="A49" s="221"/>
      <c r="B49" s="373"/>
      <c r="C49" s="373"/>
      <c r="D49" s="373"/>
      <c r="E49" s="373"/>
      <c r="F49" s="194"/>
      <c r="G49" s="373"/>
      <c r="H49" s="435"/>
      <c r="I49" s="291"/>
      <c r="J49" s="193"/>
      <c r="K49" s="193"/>
      <c r="L49" s="194"/>
      <c r="M49" s="194"/>
      <c r="N49" s="437"/>
      <c r="O49" s="425"/>
      <c r="P49" s="438"/>
      <c r="Q49" s="194"/>
      <c r="R49" s="194"/>
      <c r="S49" s="194"/>
      <c r="T49" s="194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</row>
    <row r="50" spans="1:55" x14ac:dyDescent="0.2">
      <c r="A50" s="382"/>
      <c r="B50" s="373"/>
      <c r="C50" s="372"/>
      <c r="D50" s="372"/>
      <c r="E50" s="372"/>
      <c r="F50" s="194"/>
      <c r="G50" s="372"/>
      <c r="H50" s="435"/>
      <c r="I50" s="291"/>
      <c r="J50" s="193"/>
      <c r="K50" s="193"/>
      <c r="L50" s="194"/>
      <c r="M50" s="194"/>
      <c r="N50" s="437"/>
      <c r="O50" s="425"/>
      <c r="P50" s="438"/>
      <c r="Q50" s="194"/>
      <c r="R50" s="194"/>
      <c r="S50" s="194"/>
      <c r="T50" s="194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</row>
    <row r="51" spans="1:55" s="173" customFormat="1" x14ac:dyDescent="0.2">
      <c r="A51" s="383"/>
      <c r="B51" s="373"/>
      <c r="C51" s="372"/>
      <c r="D51" s="372"/>
      <c r="E51" s="372"/>
      <c r="F51" s="194"/>
      <c r="G51" s="372"/>
      <c r="H51" s="435"/>
      <c r="I51" s="291"/>
      <c r="J51" s="193"/>
      <c r="K51" s="193"/>
      <c r="L51" s="194"/>
      <c r="M51" s="194"/>
      <c r="N51" s="437"/>
      <c r="O51" s="425"/>
      <c r="P51" s="438"/>
      <c r="Q51" s="194"/>
      <c r="R51" s="194"/>
      <c r="S51" s="194"/>
      <c r="T51" s="194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</row>
    <row r="52" spans="1:55" s="173" customFormat="1" x14ac:dyDescent="0.2">
      <c r="A52" s="221"/>
      <c r="B52" s="373"/>
      <c r="C52" s="372"/>
      <c r="D52" s="372"/>
      <c r="E52" s="372"/>
      <c r="F52" s="194"/>
      <c r="G52" s="372"/>
      <c r="H52" s="435"/>
      <c r="I52" s="291"/>
      <c r="J52" s="193"/>
      <c r="K52" s="193"/>
      <c r="L52" s="194"/>
      <c r="M52" s="194"/>
      <c r="N52" s="437"/>
      <c r="O52" s="425"/>
      <c r="P52" s="438"/>
      <c r="Q52" s="194"/>
      <c r="R52" s="194"/>
      <c r="S52" s="194"/>
      <c r="T52" s="194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</row>
    <row r="53" spans="1:55" s="173" customFormat="1" x14ac:dyDescent="0.2">
      <c r="A53" s="221"/>
      <c r="B53" s="373"/>
      <c r="C53" s="372"/>
      <c r="D53" s="372"/>
      <c r="E53" s="372"/>
      <c r="F53" s="194"/>
      <c r="G53" s="372"/>
      <c r="H53" s="435"/>
      <c r="I53" s="291"/>
      <c r="J53" s="193"/>
      <c r="K53" s="193"/>
      <c r="L53" s="194"/>
      <c r="M53" s="194"/>
      <c r="N53" s="437"/>
      <c r="O53" s="425"/>
      <c r="P53" s="438"/>
      <c r="Q53" s="194"/>
      <c r="R53" s="194"/>
      <c r="S53" s="194"/>
      <c r="T53" s="194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</row>
    <row r="54" spans="1:55" x14ac:dyDescent="0.2">
      <c r="A54" s="221"/>
      <c r="B54" s="373"/>
      <c r="C54" s="372"/>
      <c r="D54" s="372"/>
      <c r="E54" s="372"/>
      <c r="F54" s="194"/>
      <c r="G54" s="372"/>
      <c r="H54" s="435"/>
      <c r="I54" s="291"/>
      <c r="J54" s="193"/>
      <c r="K54" s="193"/>
      <c r="L54" s="194"/>
      <c r="M54" s="194"/>
      <c r="N54" s="437"/>
      <c r="O54" s="425"/>
      <c r="P54" s="438"/>
      <c r="Q54" s="194"/>
      <c r="R54" s="194"/>
      <c r="S54" s="194"/>
      <c r="T54" s="194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</row>
    <row r="55" spans="1:55" x14ac:dyDescent="0.2">
      <c r="A55" s="221"/>
      <c r="B55" s="373"/>
      <c r="C55" s="372"/>
      <c r="D55" s="372"/>
      <c r="E55" s="372"/>
      <c r="F55" s="194"/>
      <c r="G55" s="372"/>
      <c r="H55" s="435"/>
      <c r="I55" s="291"/>
      <c r="J55" s="193"/>
      <c r="K55" s="193"/>
      <c r="L55" s="194"/>
      <c r="M55" s="194"/>
      <c r="N55" s="193"/>
      <c r="O55" s="438"/>
      <c r="P55" s="438"/>
      <c r="Q55" s="194"/>
      <c r="R55" s="194"/>
      <c r="S55" s="194"/>
      <c r="T55" s="194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</row>
    <row r="56" spans="1:55" x14ac:dyDescent="0.2">
      <c r="A56" s="221"/>
      <c r="B56" s="373"/>
      <c r="C56" s="372"/>
      <c r="D56" s="372"/>
      <c r="E56" s="372"/>
      <c r="F56" s="194"/>
      <c r="G56" s="372"/>
      <c r="H56" s="435"/>
      <c r="I56" s="291"/>
      <c r="J56" s="193"/>
      <c r="K56" s="193"/>
      <c r="L56" s="194"/>
      <c r="M56" s="194"/>
      <c r="N56" s="193"/>
      <c r="O56" s="438"/>
      <c r="P56" s="438"/>
      <c r="Q56" s="194"/>
      <c r="R56" s="194"/>
      <c r="S56" s="194"/>
      <c r="T56" s="194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</row>
    <row r="57" spans="1:55" x14ac:dyDescent="0.2">
      <c r="A57" s="221"/>
      <c r="B57" s="373"/>
      <c r="C57" s="372"/>
      <c r="D57" s="372"/>
      <c r="E57" s="372"/>
      <c r="F57" s="194"/>
      <c r="G57" s="372"/>
      <c r="H57" s="435"/>
      <c r="I57" s="291"/>
      <c r="J57" s="291"/>
      <c r="K57" s="291"/>
      <c r="L57" s="291"/>
      <c r="M57" s="291"/>
      <c r="N57" s="294"/>
      <c r="O57" s="294"/>
      <c r="P57" s="294"/>
      <c r="Q57" s="294"/>
      <c r="R57" s="294"/>
      <c r="S57" s="294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</row>
    <row r="58" spans="1:55" x14ac:dyDescent="0.2">
      <c r="A58" s="221"/>
      <c r="B58" s="373"/>
      <c r="C58" s="372"/>
      <c r="D58" s="372"/>
      <c r="E58" s="372"/>
      <c r="F58" s="194"/>
      <c r="G58" s="372"/>
      <c r="H58" s="435"/>
      <c r="I58" s="291"/>
      <c r="J58" s="291"/>
      <c r="K58" s="291"/>
      <c r="L58" s="291"/>
      <c r="M58" s="291"/>
      <c r="N58" s="294"/>
      <c r="O58" s="294"/>
      <c r="P58" s="294"/>
      <c r="Q58" s="294"/>
      <c r="R58" s="294"/>
      <c r="S58" s="294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</row>
    <row r="59" spans="1:55" x14ac:dyDescent="0.2">
      <c r="A59" s="221"/>
      <c r="B59" s="373"/>
      <c r="C59" s="372"/>
      <c r="D59" s="372"/>
      <c r="E59" s="372"/>
      <c r="F59" s="194"/>
      <c r="G59" s="372"/>
      <c r="H59" s="435"/>
      <c r="I59" s="291"/>
      <c r="J59" s="291"/>
      <c r="K59" s="291"/>
      <c r="L59" s="291"/>
      <c r="M59" s="291"/>
      <c r="N59" s="294"/>
      <c r="O59" s="294"/>
      <c r="P59" s="294"/>
      <c r="Q59" s="294"/>
      <c r="R59" s="294"/>
      <c r="S59" s="294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</row>
    <row r="60" spans="1:55" x14ac:dyDescent="0.2">
      <c r="A60" s="221"/>
      <c r="B60" s="373"/>
      <c r="C60" s="372"/>
      <c r="D60" s="372"/>
      <c r="E60" s="372"/>
      <c r="F60" s="194"/>
      <c r="G60" s="372"/>
      <c r="H60" s="435"/>
      <c r="I60" s="291"/>
      <c r="J60" s="443">
        <f>(T25-S25)/S25</f>
        <v>1.3023594903062762E-3</v>
      </c>
      <c r="K60" s="442">
        <f>N19</f>
        <v>-3.6496851896328071E-2</v>
      </c>
      <c r="L60" s="442">
        <f>N18</f>
        <v>-0.15125213611682747</v>
      </c>
      <c r="M60" s="291"/>
      <c r="N60" s="294"/>
      <c r="O60" s="294"/>
      <c r="P60" s="294"/>
      <c r="Q60" s="294"/>
      <c r="R60" s="294"/>
      <c r="S60" s="294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/>
      <c r="AW60" s="291"/>
      <c r="AX60" s="291"/>
      <c r="AY60" s="291"/>
      <c r="AZ60" s="291"/>
      <c r="BA60" s="291"/>
      <c r="BB60" s="291"/>
      <c r="BC60" s="291"/>
    </row>
    <row r="61" spans="1:55" x14ac:dyDescent="0.2">
      <c r="A61" s="221"/>
      <c r="B61" s="373"/>
      <c r="C61" s="372"/>
      <c r="D61" s="372"/>
      <c r="E61" s="372"/>
      <c r="F61" s="194"/>
      <c r="G61" s="372"/>
      <c r="H61" s="435"/>
      <c r="I61" s="291"/>
      <c r="J61" s="291"/>
      <c r="K61" s="291"/>
      <c r="L61" s="291"/>
      <c r="M61" s="291"/>
      <c r="N61" s="294"/>
      <c r="O61" s="294"/>
      <c r="P61" s="294"/>
      <c r="Q61" s="294"/>
      <c r="R61" s="294"/>
      <c r="S61" s="294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</row>
    <row r="62" spans="1:55" x14ac:dyDescent="0.2">
      <c r="A62" s="221"/>
      <c r="B62" s="373"/>
      <c r="C62" s="372"/>
      <c r="D62" s="372"/>
      <c r="E62" s="372"/>
      <c r="F62" s="194"/>
      <c r="G62" s="372"/>
      <c r="H62" s="435"/>
      <c r="I62" s="291"/>
      <c r="J62" s="291"/>
      <c r="K62" s="291"/>
      <c r="L62" s="291"/>
      <c r="M62" s="291"/>
      <c r="N62" s="294"/>
      <c r="O62" s="294"/>
      <c r="P62" s="294"/>
      <c r="Q62" s="294"/>
      <c r="R62" s="294"/>
      <c r="S62" s="294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</row>
    <row r="63" spans="1:55" x14ac:dyDescent="0.2">
      <c r="A63" s="221"/>
      <c r="B63" s="373"/>
      <c r="C63" s="372"/>
      <c r="D63" s="372"/>
      <c r="E63" s="372"/>
      <c r="F63" s="194"/>
      <c r="G63" s="372"/>
      <c r="H63" s="435"/>
      <c r="I63" s="291"/>
      <c r="J63" s="291"/>
      <c r="K63" s="291"/>
      <c r="L63" s="291"/>
      <c r="M63" s="291"/>
      <c r="N63" s="294"/>
      <c r="O63" s="294"/>
      <c r="P63" s="294"/>
      <c r="Q63" s="294"/>
      <c r="R63" s="294"/>
      <c r="S63" s="294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</row>
    <row r="64" spans="1:55" x14ac:dyDescent="0.2">
      <c r="A64" s="380"/>
      <c r="B64" s="373"/>
      <c r="C64" s="372"/>
      <c r="D64" s="372"/>
      <c r="E64" s="372"/>
      <c r="F64" s="194"/>
      <c r="G64" s="372"/>
      <c r="H64" s="435"/>
      <c r="I64" s="291"/>
      <c r="J64" s="291"/>
      <c r="K64" s="291"/>
      <c r="L64" s="291"/>
      <c r="M64" s="291"/>
      <c r="N64" s="294"/>
      <c r="O64" s="294"/>
      <c r="P64" s="294"/>
      <c r="Q64" s="294"/>
      <c r="R64" s="294"/>
      <c r="S64" s="294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</row>
    <row r="65" spans="1:57" x14ac:dyDescent="0.2">
      <c r="A65" s="223"/>
      <c r="B65" s="373"/>
      <c r="C65" s="372"/>
      <c r="D65" s="372"/>
      <c r="E65" s="372"/>
      <c r="F65" s="194"/>
      <c r="G65" s="372"/>
      <c r="H65" s="435"/>
      <c r="I65" s="291"/>
      <c r="J65" s="291"/>
      <c r="K65" s="291"/>
      <c r="L65" s="291"/>
      <c r="M65" s="291"/>
      <c r="N65" s="294"/>
      <c r="O65" s="294"/>
      <c r="P65" s="294"/>
      <c r="Q65" s="294"/>
      <c r="R65" s="294"/>
      <c r="S65" s="294"/>
      <c r="T65" s="291"/>
      <c r="U65" s="291"/>
      <c r="V65" s="291"/>
      <c r="W65" s="291"/>
      <c r="X65" s="291"/>
      <c r="Y65" s="291"/>
      <c r="Z65" s="291"/>
      <c r="AA65" s="291"/>
      <c r="AB65" s="291"/>
      <c r="AC65" s="291"/>
      <c r="AD65" s="291"/>
      <c r="AE65" s="291"/>
      <c r="AF65" s="291"/>
      <c r="AG65" s="29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291"/>
      <c r="BC65" s="291"/>
    </row>
    <row r="66" spans="1:57" x14ac:dyDescent="0.2">
      <c r="A66" s="223"/>
      <c r="B66" s="373"/>
      <c r="C66" s="372"/>
      <c r="D66" s="372"/>
      <c r="E66" s="372"/>
      <c r="F66" s="194"/>
      <c r="G66" s="372"/>
      <c r="H66" s="435"/>
      <c r="I66" s="291"/>
      <c r="J66" s="291"/>
      <c r="K66" s="291"/>
      <c r="L66" s="291"/>
      <c r="M66" s="291"/>
      <c r="N66" s="294"/>
      <c r="O66" s="294"/>
      <c r="P66" s="294"/>
      <c r="Q66" s="294"/>
      <c r="R66" s="294"/>
      <c r="S66" s="294"/>
      <c r="T66" s="294"/>
      <c r="U66" s="294"/>
      <c r="V66" s="291"/>
      <c r="W66" s="291"/>
      <c r="X66" s="291"/>
      <c r="Y66" s="291"/>
      <c r="Z66" s="291"/>
      <c r="AA66" s="291"/>
      <c r="AB66" s="291"/>
      <c r="AC66" s="291"/>
      <c r="AD66" s="291"/>
      <c r="AE66" s="291"/>
      <c r="AF66" s="291"/>
      <c r="AG66" s="291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D66" s="291"/>
      <c r="BE66" s="291"/>
    </row>
    <row r="67" spans="1:57" x14ac:dyDescent="0.2">
      <c r="A67" s="223"/>
      <c r="B67" s="373"/>
      <c r="C67" s="372"/>
      <c r="D67" s="372"/>
      <c r="E67" s="372"/>
      <c r="F67" s="194"/>
      <c r="G67" s="372"/>
      <c r="H67" s="435"/>
      <c r="I67" s="291"/>
      <c r="J67" s="291"/>
      <c r="K67" s="291"/>
      <c r="L67" s="291"/>
      <c r="M67" s="291"/>
      <c r="N67" s="294"/>
      <c r="O67" s="294"/>
      <c r="P67" s="294"/>
      <c r="Q67" s="294"/>
      <c r="R67" s="294"/>
      <c r="S67" s="294"/>
      <c r="T67" s="294"/>
      <c r="U67" s="294"/>
      <c r="V67" s="291"/>
      <c r="W67" s="291"/>
      <c r="X67" s="291"/>
      <c r="Y67" s="291"/>
      <c r="Z67" s="291"/>
      <c r="AA67" s="291"/>
      <c r="AB67" s="291"/>
      <c r="AC67" s="291"/>
      <c r="AD67" s="291"/>
      <c r="AE67" s="291"/>
      <c r="AF67" s="291"/>
      <c r="AG67" s="291"/>
      <c r="AH67" s="291"/>
      <c r="AI67" s="291"/>
      <c r="AJ67" s="291"/>
      <c r="AK67" s="291"/>
      <c r="AL67" s="291"/>
      <c r="AM67" s="291"/>
      <c r="AN67" s="291"/>
      <c r="AO67" s="291"/>
      <c r="AP67" s="291"/>
      <c r="AQ67" s="291"/>
      <c r="AR67" s="291"/>
      <c r="AS67" s="291"/>
      <c r="AT67" s="291"/>
      <c r="AU67" s="291"/>
      <c r="AV67" s="291"/>
      <c r="AW67" s="291"/>
      <c r="AX67" s="291"/>
      <c r="AY67" s="291"/>
      <c r="AZ67" s="291"/>
      <c r="BA67" s="291"/>
      <c r="BB67" s="291"/>
      <c r="BC67" s="291"/>
      <c r="BD67" s="291"/>
      <c r="BE67" s="291"/>
    </row>
    <row r="68" spans="1:57" x14ac:dyDescent="0.2">
      <c r="A68" s="223"/>
      <c r="B68" s="373"/>
      <c r="C68" s="372"/>
      <c r="D68" s="372"/>
      <c r="E68" s="372"/>
      <c r="F68" s="194"/>
      <c r="G68" s="372"/>
      <c r="H68" s="435"/>
      <c r="I68" s="291"/>
      <c r="J68" s="291"/>
      <c r="K68" s="291"/>
      <c r="L68" s="291"/>
      <c r="M68" s="291"/>
      <c r="N68" s="294"/>
      <c r="O68" s="294"/>
      <c r="P68" s="294"/>
      <c r="Q68" s="294"/>
      <c r="R68" s="294"/>
      <c r="S68" s="294"/>
      <c r="T68" s="294"/>
      <c r="U68" s="294"/>
      <c r="V68" s="291"/>
      <c r="W68" s="291"/>
      <c r="X68" s="291"/>
      <c r="Y68" s="291"/>
      <c r="Z68" s="291"/>
      <c r="AA68" s="291"/>
      <c r="AB68" s="291"/>
      <c r="AC68" s="291"/>
      <c r="AD68" s="291"/>
      <c r="AE68" s="291"/>
      <c r="AF68" s="291"/>
      <c r="AG68" s="291"/>
      <c r="AH68" s="291"/>
      <c r="AI68" s="291"/>
      <c r="AJ68" s="291"/>
      <c r="AK68" s="291"/>
      <c r="AL68" s="291"/>
      <c r="AM68" s="291"/>
      <c r="AN68" s="291"/>
      <c r="AO68" s="291"/>
      <c r="AP68" s="291"/>
      <c r="AQ68" s="291"/>
      <c r="AR68" s="291"/>
      <c r="AS68" s="291"/>
      <c r="AT68" s="291"/>
      <c r="AU68" s="291"/>
      <c r="AV68" s="291"/>
      <c r="AW68" s="291"/>
      <c r="AX68" s="291"/>
      <c r="AY68" s="291"/>
      <c r="AZ68" s="291"/>
      <c r="BA68" s="291"/>
      <c r="BB68" s="291"/>
      <c r="BC68" s="291"/>
      <c r="BD68" s="291"/>
      <c r="BE68" s="291"/>
    </row>
    <row r="69" spans="1:57" s="173" customFormat="1" x14ac:dyDescent="0.2">
      <c r="A69" s="223"/>
      <c r="B69" s="379"/>
      <c r="C69" s="372"/>
      <c r="D69" s="372"/>
      <c r="E69" s="372"/>
      <c r="F69" s="194"/>
      <c r="G69" s="372"/>
      <c r="H69" s="435"/>
      <c r="I69" s="291"/>
      <c r="J69" s="291"/>
      <c r="K69" s="291"/>
      <c r="L69" s="291"/>
      <c r="M69" s="291"/>
      <c r="N69" s="294"/>
      <c r="O69" s="294"/>
      <c r="P69" s="294"/>
      <c r="Q69" s="294"/>
      <c r="R69" s="294"/>
      <c r="S69" s="294"/>
      <c r="T69" s="294"/>
      <c r="U69" s="294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  <c r="AF69" s="291"/>
      <c r="AG69" s="291"/>
      <c r="AH69" s="291"/>
      <c r="AI69" s="291"/>
      <c r="AJ69" s="291"/>
      <c r="AK69" s="291"/>
      <c r="AL69" s="291"/>
      <c r="AM69" s="291"/>
      <c r="AN69" s="291"/>
      <c r="AO69" s="291"/>
      <c r="AP69" s="291"/>
      <c r="AQ69" s="291"/>
      <c r="AR69" s="291"/>
      <c r="AS69" s="291"/>
      <c r="AT69" s="291"/>
      <c r="AU69" s="291"/>
      <c r="AV69" s="291"/>
      <c r="AW69" s="291"/>
      <c r="AX69" s="291"/>
      <c r="AY69" s="291"/>
      <c r="AZ69" s="291"/>
      <c r="BA69" s="291"/>
      <c r="BB69" s="291"/>
      <c r="BC69" s="291"/>
      <c r="BD69" s="291"/>
      <c r="BE69" s="291"/>
    </row>
    <row r="70" spans="1:57" x14ac:dyDescent="0.2">
      <c r="A70" s="223"/>
      <c r="B70" s="373"/>
      <c r="C70" s="372"/>
      <c r="D70" s="372"/>
      <c r="E70" s="372"/>
      <c r="F70" s="194"/>
      <c r="G70" s="372"/>
      <c r="H70" s="435"/>
      <c r="I70" s="291"/>
      <c r="J70" s="291"/>
      <c r="K70" s="291"/>
      <c r="L70" s="291"/>
      <c r="M70" s="291"/>
      <c r="N70" s="294"/>
      <c r="O70" s="294"/>
      <c r="P70" s="294"/>
      <c r="Q70" s="294"/>
      <c r="R70" s="294"/>
      <c r="S70" s="294"/>
      <c r="T70" s="294"/>
      <c r="U70" s="294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  <c r="AF70" s="291"/>
      <c r="AG70" s="291"/>
      <c r="AH70" s="291"/>
      <c r="AI70" s="291"/>
      <c r="AJ70" s="291"/>
      <c r="AK70" s="291"/>
      <c r="AL70" s="291"/>
      <c r="AM70" s="291"/>
      <c r="AN70" s="291"/>
      <c r="AO70" s="291"/>
      <c r="AP70" s="291"/>
      <c r="AQ70" s="291"/>
      <c r="AR70" s="291"/>
      <c r="AS70" s="291"/>
      <c r="AT70" s="291"/>
      <c r="AU70" s="291"/>
      <c r="AV70" s="291"/>
      <c r="AW70" s="291"/>
      <c r="AX70" s="291"/>
      <c r="AY70" s="291"/>
      <c r="AZ70" s="291"/>
      <c r="BA70" s="291"/>
      <c r="BB70" s="291"/>
      <c r="BC70" s="291"/>
      <c r="BD70" s="291"/>
      <c r="BE70" s="291"/>
    </row>
    <row r="71" spans="1:57" x14ac:dyDescent="0.2">
      <c r="A71" s="223"/>
      <c r="B71" s="373"/>
      <c r="C71" s="372"/>
      <c r="D71" s="372"/>
      <c r="E71" s="372"/>
      <c r="F71" s="194"/>
      <c r="G71" s="372"/>
      <c r="H71" s="435"/>
      <c r="I71" s="291"/>
      <c r="J71" s="291"/>
      <c r="K71" s="291"/>
      <c r="L71" s="291"/>
      <c r="M71" s="291"/>
      <c r="N71" s="294"/>
      <c r="O71" s="294"/>
      <c r="P71" s="294"/>
      <c r="Q71" s="294"/>
      <c r="R71" s="294"/>
      <c r="S71" s="294"/>
      <c r="T71" s="294"/>
      <c r="U71" s="294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  <c r="AF71" s="291"/>
      <c r="AG71" s="291"/>
      <c r="AH71" s="291"/>
      <c r="AI71" s="291"/>
      <c r="AJ71" s="291"/>
      <c r="AK71" s="291"/>
      <c r="AL71" s="291"/>
      <c r="AM71" s="291"/>
      <c r="AN71" s="291"/>
      <c r="AO71" s="291"/>
      <c r="AP71" s="291"/>
      <c r="AQ71" s="291"/>
      <c r="AR71" s="291"/>
      <c r="AS71" s="291"/>
      <c r="AT71" s="291"/>
      <c r="AU71" s="291"/>
      <c r="AV71" s="291"/>
      <c r="AW71" s="291"/>
      <c r="AX71" s="291"/>
      <c r="AY71" s="291"/>
      <c r="AZ71" s="291"/>
      <c r="BA71" s="291"/>
      <c r="BB71" s="291"/>
      <c r="BC71" s="291"/>
      <c r="BD71" s="291"/>
      <c r="BE71" s="291"/>
    </row>
    <row r="72" spans="1:57" x14ac:dyDescent="0.2">
      <c r="A72" s="223"/>
      <c r="B72" s="373"/>
      <c r="C72" s="372"/>
      <c r="D72" s="372"/>
      <c r="E72" s="372"/>
      <c r="F72" s="194"/>
      <c r="G72" s="372"/>
      <c r="H72" s="435"/>
      <c r="I72" s="291"/>
      <c r="J72" s="291"/>
      <c r="K72" s="291"/>
      <c r="L72" s="291"/>
      <c r="M72" s="291"/>
      <c r="N72" s="294"/>
      <c r="O72" s="294"/>
      <c r="P72" s="294"/>
      <c r="Q72" s="294"/>
      <c r="R72" s="294"/>
      <c r="S72" s="294"/>
      <c r="T72" s="294"/>
      <c r="U72" s="294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</row>
    <row r="73" spans="1:57" x14ac:dyDescent="0.2">
      <c r="A73" s="223"/>
      <c r="B73" s="373"/>
      <c r="C73" s="372"/>
      <c r="D73" s="372"/>
      <c r="E73" s="372"/>
      <c r="F73" s="194"/>
      <c r="G73" s="372"/>
      <c r="H73" s="435"/>
      <c r="I73" s="291"/>
      <c r="J73" s="291"/>
      <c r="K73" s="291"/>
      <c r="L73" s="291"/>
      <c r="M73" s="291"/>
      <c r="N73" s="294"/>
      <c r="O73" s="294"/>
      <c r="P73" s="294"/>
      <c r="Q73" s="294"/>
      <c r="R73" s="294"/>
      <c r="S73" s="294"/>
      <c r="T73" s="294"/>
      <c r="U73" s="291"/>
      <c r="V73" s="291"/>
      <c r="W73" s="291"/>
      <c r="X73" s="291"/>
      <c r="Y73" s="291"/>
      <c r="Z73" s="291"/>
      <c r="AA73" s="291"/>
      <c r="AB73" s="291"/>
      <c r="AC73" s="291"/>
      <c r="AD73" s="291"/>
      <c r="AE73" s="291"/>
      <c r="AF73" s="291"/>
      <c r="AG73" s="291"/>
      <c r="AH73" s="291"/>
      <c r="AI73" s="291"/>
      <c r="AJ73" s="291"/>
      <c r="AK73" s="291"/>
      <c r="AL73" s="291"/>
      <c r="AM73" s="291"/>
      <c r="AN73" s="291"/>
      <c r="AO73" s="291"/>
      <c r="AP73" s="291"/>
      <c r="AQ73" s="291"/>
      <c r="AR73" s="291"/>
      <c r="AS73" s="291"/>
      <c r="AT73" s="291"/>
      <c r="AU73" s="291"/>
      <c r="AV73" s="291"/>
      <c r="AW73" s="291"/>
      <c r="AX73" s="291"/>
      <c r="AY73" s="291"/>
      <c r="AZ73" s="291"/>
      <c r="BA73" s="291"/>
      <c r="BB73" s="291"/>
      <c r="BC73" s="291"/>
      <c r="BD73" s="291"/>
    </row>
    <row r="74" spans="1:57" x14ac:dyDescent="0.2">
      <c r="A74" s="223"/>
      <c r="B74" s="373"/>
      <c r="C74" s="372"/>
      <c r="D74" s="372"/>
      <c r="E74" s="372"/>
      <c r="F74" s="194"/>
      <c r="G74" s="372"/>
      <c r="H74" s="435"/>
      <c r="I74" s="291"/>
      <c r="J74" s="291"/>
      <c r="K74" s="291"/>
      <c r="L74" s="291"/>
      <c r="M74" s="291"/>
      <c r="N74" s="294"/>
      <c r="O74" s="294"/>
      <c r="P74" s="291"/>
      <c r="Q74" s="291"/>
      <c r="R74" s="294"/>
      <c r="S74" s="294"/>
      <c r="T74" s="294"/>
      <c r="U74" s="291"/>
      <c r="V74" s="291"/>
      <c r="W74" s="291"/>
      <c r="X74" s="291"/>
      <c r="Y74" s="291"/>
      <c r="Z74" s="291"/>
      <c r="AA74" s="291"/>
      <c r="AB74" s="291"/>
      <c r="AC74" s="291"/>
      <c r="AD74" s="291"/>
      <c r="AE74" s="291"/>
      <c r="AF74" s="291"/>
      <c r="AG74" s="291"/>
      <c r="AH74" s="291"/>
      <c r="AI74" s="291"/>
      <c r="AJ74" s="291"/>
      <c r="AK74" s="291"/>
      <c r="AL74" s="291"/>
      <c r="AM74" s="291"/>
      <c r="AN74" s="291"/>
      <c r="AO74" s="291"/>
      <c r="AP74" s="291"/>
      <c r="AQ74" s="291"/>
      <c r="AR74" s="291"/>
      <c r="AS74" s="291"/>
      <c r="AT74" s="291"/>
      <c r="AU74" s="291"/>
      <c r="AV74" s="291"/>
      <c r="AW74" s="291"/>
      <c r="AX74" s="291"/>
      <c r="AY74" s="291"/>
      <c r="AZ74" s="291"/>
      <c r="BA74" s="291"/>
      <c r="BB74" s="291"/>
      <c r="BC74" s="291"/>
      <c r="BD74" s="291"/>
    </row>
    <row r="75" spans="1:57" x14ac:dyDescent="0.2">
      <c r="A75" s="223"/>
      <c r="B75" s="373"/>
      <c r="C75" s="372"/>
      <c r="D75" s="372"/>
      <c r="E75" s="372"/>
      <c r="F75" s="194"/>
      <c r="G75" s="372"/>
      <c r="H75" s="435"/>
      <c r="I75" s="291"/>
      <c r="J75" s="291"/>
      <c r="K75" s="291"/>
      <c r="L75" s="291"/>
      <c r="M75" s="291"/>
      <c r="N75" s="291"/>
      <c r="O75" s="291"/>
      <c r="P75" s="291"/>
      <c r="Q75" s="291"/>
      <c r="R75" s="294"/>
      <c r="S75" s="294"/>
      <c r="T75" s="294"/>
      <c r="U75" s="291"/>
      <c r="V75" s="291"/>
      <c r="W75" s="291"/>
      <c r="X75" s="291"/>
      <c r="Y75" s="291"/>
      <c r="Z75" s="291"/>
      <c r="AA75" s="291"/>
      <c r="AB75" s="291"/>
      <c r="AC75" s="291"/>
      <c r="AD75" s="291"/>
      <c r="AE75" s="291"/>
      <c r="AF75" s="291"/>
      <c r="AG75" s="291"/>
      <c r="AH75" s="291"/>
      <c r="AI75" s="291"/>
      <c r="AJ75" s="291"/>
      <c r="AK75" s="291"/>
      <c r="AL75" s="291"/>
      <c r="AM75" s="291"/>
      <c r="AN75" s="291"/>
      <c r="AO75" s="291"/>
      <c r="AP75" s="291"/>
      <c r="AQ75" s="291"/>
      <c r="AR75" s="291"/>
      <c r="AS75" s="291"/>
      <c r="AT75" s="291"/>
      <c r="AU75" s="291"/>
      <c r="AV75" s="291"/>
      <c r="AW75" s="291"/>
      <c r="AX75" s="291"/>
      <c r="AY75" s="291"/>
      <c r="AZ75" s="291"/>
      <c r="BA75" s="291"/>
      <c r="BB75" s="291"/>
      <c r="BC75" s="291"/>
      <c r="BD75" s="291"/>
    </row>
    <row r="76" spans="1:57" x14ac:dyDescent="0.2">
      <c r="A76" s="221"/>
      <c r="B76" s="373"/>
      <c r="C76" s="373"/>
      <c r="D76" s="373"/>
      <c r="E76" s="373"/>
      <c r="F76" s="194"/>
      <c r="G76" s="373"/>
      <c r="H76" s="436"/>
      <c r="I76" s="291"/>
      <c r="J76" s="291"/>
      <c r="K76" s="291"/>
      <c r="L76" s="291"/>
      <c r="M76" s="291"/>
      <c r="N76" s="291"/>
      <c r="O76" s="291"/>
      <c r="P76" s="291"/>
      <c r="Q76" s="294"/>
      <c r="R76" s="294"/>
      <c r="S76" s="291"/>
      <c r="T76" s="291"/>
      <c r="U76" s="291"/>
      <c r="V76" s="291"/>
      <c r="W76" s="291"/>
      <c r="X76" s="291"/>
      <c r="Y76" s="291"/>
      <c r="Z76" s="291"/>
      <c r="AA76" s="291"/>
      <c r="AB76" s="291"/>
      <c r="AC76" s="291"/>
      <c r="AD76" s="291"/>
      <c r="AE76" s="291"/>
      <c r="AF76" s="291"/>
      <c r="AG76" s="291"/>
      <c r="AH76" s="291"/>
      <c r="AI76" s="291"/>
      <c r="AJ76" s="291"/>
      <c r="AK76" s="291"/>
      <c r="AL76" s="291"/>
      <c r="AM76" s="291"/>
      <c r="AN76" s="291"/>
      <c r="AO76" s="291"/>
      <c r="AP76" s="291"/>
      <c r="AQ76" s="291"/>
      <c r="AR76" s="291"/>
      <c r="AS76" s="291"/>
      <c r="AT76" s="291"/>
      <c r="AU76" s="291"/>
      <c r="AV76" s="291"/>
      <c r="AW76" s="291"/>
      <c r="AX76" s="291"/>
      <c r="AY76" s="291"/>
      <c r="AZ76" s="291"/>
      <c r="BA76" s="291"/>
      <c r="BB76" s="291"/>
      <c r="BC76" s="291"/>
    </row>
    <row r="77" spans="1:57" x14ac:dyDescent="0.2">
      <c r="A77" s="421"/>
      <c r="B77" s="384"/>
      <c r="C77" s="373"/>
      <c r="D77" s="373"/>
      <c r="E77" s="373"/>
      <c r="F77" s="194"/>
      <c r="G77" s="372"/>
      <c r="H77" s="435"/>
      <c r="I77" s="291"/>
      <c r="J77" s="291"/>
      <c r="K77" s="291"/>
      <c r="L77" s="291"/>
      <c r="M77" s="291"/>
      <c r="N77" s="291"/>
      <c r="O77" s="291"/>
      <c r="P77" s="291"/>
      <c r="Q77" s="294"/>
      <c r="R77" s="294"/>
      <c r="S77" s="291"/>
      <c r="T77" s="291"/>
      <c r="U77" s="291"/>
      <c r="V77" s="291"/>
      <c r="W77" s="291"/>
      <c r="X77" s="291"/>
      <c r="Y77" s="291"/>
      <c r="Z77" s="291"/>
      <c r="AA77" s="291"/>
      <c r="AB77" s="291"/>
      <c r="AC77" s="291"/>
      <c r="AD77" s="291"/>
      <c r="AE77" s="291"/>
      <c r="AF77" s="291"/>
      <c r="AG77" s="291"/>
      <c r="AH77" s="291"/>
      <c r="AI77" s="291"/>
      <c r="AJ77" s="291"/>
      <c r="AK77" s="291"/>
      <c r="AL77" s="291"/>
      <c r="AM77" s="291"/>
      <c r="AN77" s="291"/>
      <c r="AO77" s="291"/>
      <c r="AP77" s="291"/>
      <c r="AQ77" s="291"/>
      <c r="AR77" s="291"/>
      <c r="AS77" s="291"/>
      <c r="AT77" s="291"/>
      <c r="AU77" s="291"/>
      <c r="AV77" s="291"/>
      <c r="AW77" s="291"/>
      <c r="AX77" s="291"/>
      <c r="AY77" s="291"/>
      <c r="AZ77" s="291"/>
      <c r="BA77" s="291"/>
      <c r="BB77" s="291"/>
      <c r="BC77" s="291"/>
    </row>
    <row r="78" spans="1:57" x14ac:dyDescent="0.2">
      <c r="A78" s="378"/>
      <c r="B78" s="384"/>
      <c r="C78" s="378"/>
      <c r="D78" s="378"/>
      <c r="E78" s="373"/>
      <c r="F78" s="194"/>
      <c r="G78" s="372"/>
      <c r="H78" s="435"/>
      <c r="I78" s="291"/>
      <c r="J78" s="291"/>
      <c r="K78" s="291"/>
      <c r="L78" s="291"/>
      <c r="M78" s="291"/>
      <c r="N78" s="291"/>
      <c r="O78" s="291"/>
      <c r="P78" s="291"/>
      <c r="Q78" s="294"/>
      <c r="R78" s="294"/>
      <c r="S78" s="291"/>
      <c r="T78" s="291"/>
      <c r="U78" s="291"/>
      <c r="V78" s="291"/>
      <c r="W78" s="291"/>
      <c r="X78" s="291"/>
      <c r="Y78" s="291"/>
      <c r="Z78" s="291"/>
      <c r="AA78" s="291"/>
      <c r="AB78" s="291"/>
      <c r="AC78" s="291"/>
      <c r="AD78" s="291"/>
      <c r="AE78" s="291"/>
      <c r="AF78" s="291"/>
      <c r="AG78" s="291"/>
      <c r="AH78" s="291"/>
      <c r="AI78" s="291"/>
      <c r="AJ78" s="291"/>
      <c r="AK78" s="291"/>
      <c r="AL78" s="291"/>
      <c r="AM78" s="291"/>
      <c r="AN78" s="291"/>
      <c r="AO78" s="291"/>
      <c r="AP78" s="291"/>
      <c r="AQ78" s="291"/>
      <c r="AR78" s="291"/>
      <c r="AS78" s="291"/>
      <c r="AT78" s="291"/>
      <c r="AU78" s="291"/>
      <c r="AV78" s="291"/>
      <c r="AW78" s="291"/>
      <c r="AX78" s="291"/>
      <c r="AY78" s="291"/>
      <c r="AZ78" s="291"/>
      <c r="BA78" s="291"/>
      <c r="BB78" s="291"/>
      <c r="BC78" s="291"/>
    </row>
    <row r="79" spans="1:57" x14ac:dyDescent="0.2">
      <c r="A79" s="378"/>
      <c r="B79" s="384"/>
      <c r="C79" s="378"/>
      <c r="D79" s="378"/>
      <c r="E79" s="373"/>
      <c r="F79" s="194"/>
      <c r="G79" s="372"/>
      <c r="H79" s="435"/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291"/>
      <c r="AA79" s="291"/>
      <c r="AB79" s="291"/>
      <c r="AC79" s="291"/>
      <c r="AD79" s="291"/>
      <c r="AE79" s="291"/>
      <c r="AF79" s="291"/>
      <c r="AG79" s="291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</row>
    <row r="80" spans="1:57" x14ac:dyDescent="0.2">
      <c r="A80" s="378"/>
      <c r="B80" s="384"/>
      <c r="C80" s="378"/>
      <c r="D80" s="378"/>
      <c r="E80" s="372"/>
      <c r="F80" s="194"/>
      <c r="G80" s="372"/>
      <c r="H80" s="435"/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291"/>
      <c r="W80" s="291"/>
      <c r="X80" s="291"/>
      <c r="Y80" s="291"/>
      <c r="Z80" s="291"/>
      <c r="AA80" s="291"/>
      <c r="AB80" s="291"/>
      <c r="AC80" s="291"/>
      <c r="AD80" s="291"/>
      <c r="AE80" s="291"/>
      <c r="AF80" s="291"/>
      <c r="AG80" s="291"/>
      <c r="AH80" s="291"/>
      <c r="AI80" s="291"/>
      <c r="AJ80" s="291"/>
      <c r="AK80" s="291"/>
      <c r="AL80" s="291"/>
      <c r="AM80" s="291"/>
      <c r="AN80" s="291"/>
      <c r="AO80" s="291"/>
      <c r="AP80" s="291"/>
      <c r="AQ80" s="291"/>
      <c r="AR80" s="291"/>
      <c r="AS80" s="291"/>
      <c r="AT80" s="291"/>
      <c r="AU80" s="291"/>
      <c r="AV80" s="291"/>
      <c r="AW80" s="291"/>
      <c r="AX80" s="291"/>
      <c r="AY80" s="291"/>
      <c r="AZ80" s="291"/>
      <c r="BA80" s="291"/>
      <c r="BB80" s="291"/>
      <c r="BC80" s="291"/>
    </row>
    <row r="81" spans="1:55" x14ac:dyDescent="0.2">
      <c r="A81" s="378"/>
      <c r="B81" s="384"/>
      <c r="C81" s="378"/>
      <c r="D81" s="378"/>
      <c r="E81" s="372"/>
      <c r="F81" s="194"/>
      <c r="G81" s="372"/>
      <c r="H81" s="435"/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  <c r="Z81" s="291"/>
      <c r="AA81" s="291"/>
      <c r="AB81" s="291"/>
      <c r="AC81" s="291"/>
      <c r="AD81" s="291"/>
      <c r="AE81" s="291"/>
      <c r="AF81" s="291"/>
      <c r="AG81" s="291"/>
      <c r="AH81" s="291"/>
      <c r="AI81" s="291"/>
      <c r="AJ81" s="291"/>
      <c r="AK81" s="291"/>
      <c r="AL81" s="291"/>
      <c r="AM81" s="291"/>
      <c r="AN81" s="291"/>
      <c r="AO81" s="291"/>
      <c r="AP81" s="291"/>
      <c r="AQ81" s="291"/>
      <c r="AR81" s="291"/>
      <c r="AS81" s="291"/>
      <c r="AT81" s="291"/>
      <c r="AU81" s="291"/>
      <c r="AV81" s="291"/>
      <c r="AW81" s="291"/>
      <c r="AX81" s="291"/>
      <c r="AY81" s="291"/>
      <c r="AZ81" s="291"/>
      <c r="BA81" s="291"/>
      <c r="BB81" s="291"/>
      <c r="BC81" s="291"/>
    </row>
    <row r="82" spans="1:55" x14ac:dyDescent="0.2">
      <c r="A82" s="378"/>
      <c r="B82" s="384"/>
      <c r="C82" s="378"/>
      <c r="D82" s="378"/>
      <c r="E82" s="372"/>
      <c r="F82" s="194"/>
      <c r="G82" s="372"/>
      <c r="H82" s="435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/>
      <c r="U82" s="291"/>
      <c r="V82" s="291"/>
      <c r="W82" s="291"/>
      <c r="X82" s="291"/>
      <c r="Y82" s="291"/>
      <c r="Z82" s="291"/>
      <c r="AA82" s="291"/>
      <c r="AB82" s="291"/>
      <c r="AC82" s="291"/>
      <c r="AD82" s="291"/>
      <c r="AE82" s="291"/>
      <c r="AF82" s="291"/>
      <c r="AG82" s="291"/>
      <c r="AH82" s="291"/>
      <c r="AI82" s="291"/>
      <c r="AJ82" s="291"/>
      <c r="AK82" s="291"/>
      <c r="AL82" s="291"/>
      <c r="AM82" s="291"/>
      <c r="AN82" s="291"/>
      <c r="AO82" s="291"/>
      <c r="AP82" s="291"/>
      <c r="AQ82" s="291"/>
      <c r="AR82" s="291"/>
      <c r="AS82" s="291"/>
      <c r="AT82" s="291"/>
      <c r="AU82" s="291"/>
      <c r="AV82" s="291"/>
      <c r="AW82" s="291"/>
      <c r="AX82" s="291"/>
      <c r="AY82" s="291"/>
      <c r="AZ82" s="291"/>
      <c r="BA82" s="291"/>
      <c r="BB82" s="291"/>
      <c r="BC82" s="291"/>
    </row>
    <row r="83" spans="1:55" x14ac:dyDescent="0.2">
      <c r="A83" s="378"/>
      <c r="B83" s="384"/>
      <c r="C83" s="378"/>
      <c r="D83" s="378"/>
      <c r="E83" s="372"/>
      <c r="F83" s="194"/>
      <c r="G83" s="372"/>
      <c r="H83" s="435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</row>
    <row r="84" spans="1:55" x14ac:dyDescent="0.2">
      <c r="A84" s="378"/>
      <c r="B84" s="384"/>
      <c r="C84" s="378"/>
      <c r="D84" s="378"/>
      <c r="E84" s="372"/>
      <c r="F84" s="194"/>
      <c r="G84" s="372"/>
      <c r="H84" s="435"/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  <c r="Z84" s="291"/>
      <c r="AA84" s="291"/>
      <c r="AB84" s="291"/>
      <c r="AC84" s="291"/>
      <c r="AD84" s="291"/>
      <c r="AE84" s="291"/>
      <c r="AF84" s="291"/>
      <c r="AG84" s="291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</row>
    <row r="85" spans="1:55" x14ac:dyDescent="0.2">
      <c r="A85" s="378"/>
      <c r="B85" s="379"/>
      <c r="C85" s="378"/>
      <c r="D85" s="378"/>
      <c r="E85" s="372"/>
      <c r="F85" s="194"/>
      <c r="G85" s="372"/>
      <c r="H85" s="435"/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  <c r="Z85" s="291"/>
      <c r="AA85" s="291"/>
      <c r="AB85" s="291"/>
      <c r="AC85" s="291"/>
      <c r="AD85" s="291"/>
      <c r="AE85" s="291"/>
      <c r="AF85" s="291"/>
      <c r="AG85" s="291"/>
      <c r="AH85" s="291"/>
      <c r="AI85" s="291"/>
      <c r="AJ85" s="291"/>
      <c r="AK85" s="291"/>
      <c r="AL85" s="291"/>
      <c r="AM85" s="291"/>
      <c r="AN85" s="291"/>
      <c r="AO85" s="291"/>
      <c r="AP85" s="291"/>
      <c r="AQ85" s="291"/>
      <c r="AR85" s="291"/>
      <c r="AS85" s="291"/>
      <c r="AT85" s="291"/>
      <c r="AU85" s="291"/>
      <c r="AV85" s="291"/>
      <c r="AW85" s="291"/>
      <c r="AX85" s="291"/>
      <c r="AY85" s="291"/>
      <c r="AZ85" s="291"/>
      <c r="BA85" s="291"/>
      <c r="BB85" s="291"/>
      <c r="BC85" s="291"/>
    </row>
    <row r="86" spans="1:55" x14ac:dyDescent="0.2">
      <c r="A86" s="378"/>
      <c r="B86" s="384"/>
      <c r="C86" s="378"/>
      <c r="D86" s="378"/>
      <c r="E86" s="372"/>
      <c r="F86" s="194"/>
      <c r="G86" s="372"/>
      <c r="H86" s="435"/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291"/>
      <c r="W86" s="291"/>
      <c r="X86" s="291"/>
      <c r="Y86" s="291"/>
      <c r="Z86" s="291"/>
      <c r="AA86" s="291"/>
      <c r="AB86" s="291"/>
      <c r="AC86" s="291"/>
      <c r="AD86" s="291"/>
      <c r="AE86" s="291"/>
      <c r="AF86" s="291"/>
      <c r="AG86" s="291"/>
      <c r="AH86" s="291"/>
      <c r="AI86" s="291"/>
      <c r="AJ86" s="291"/>
      <c r="AK86" s="291"/>
      <c r="AL86" s="291"/>
      <c r="AM86" s="291"/>
      <c r="AN86" s="291"/>
      <c r="AO86" s="291"/>
      <c r="AP86" s="291"/>
      <c r="AQ86" s="291"/>
      <c r="AR86" s="291"/>
      <c r="AS86" s="291"/>
      <c r="AT86" s="291"/>
      <c r="AU86" s="291"/>
      <c r="AV86" s="291"/>
      <c r="AW86" s="291"/>
      <c r="AX86" s="291"/>
      <c r="AY86" s="291"/>
      <c r="AZ86" s="291"/>
      <c r="BA86" s="291"/>
      <c r="BB86" s="291"/>
      <c r="BC86" s="291"/>
    </row>
    <row r="87" spans="1:55" x14ac:dyDescent="0.2">
      <c r="A87" s="378"/>
      <c r="B87" s="384"/>
      <c r="C87" s="378"/>
      <c r="D87" s="378"/>
      <c r="E87" s="372"/>
      <c r="F87" s="194"/>
      <c r="G87" s="372"/>
      <c r="H87" s="435"/>
      <c r="I87" s="291"/>
      <c r="J87" s="291"/>
      <c r="K87" s="291"/>
      <c r="L87" s="291"/>
      <c r="M87" s="291"/>
      <c r="N87" s="291"/>
      <c r="O87" s="291"/>
      <c r="P87" s="291"/>
      <c r="Q87" s="291"/>
      <c r="R87" s="291"/>
      <c r="S87" s="291"/>
      <c r="T87" s="291"/>
      <c r="U87" s="291"/>
      <c r="V87" s="291"/>
      <c r="W87" s="291"/>
      <c r="X87" s="291"/>
      <c r="Y87" s="291"/>
      <c r="Z87" s="291"/>
      <c r="AA87" s="291"/>
      <c r="AB87" s="291"/>
      <c r="AC87" s="291"/>
      <c r="AD87" s="291"/>
      <c r="AE87" s="291"/>
      <c r="AF87" s="291"/>
      <c r="AG87" s="291"/>
      <c r="AH87" s="291"/>
      <c r="AI87" s="291"/>
      <c r="AJ87" s="291"/>
      <c r="AK87" s="291"/>
      <c r="AL87" s="291"/>
      <c r="AM87" s="291"/>
      <c r="AN87" s="291"/>
      <c r="AO87" s="291"/>
      <c r="AP87" s="291"/>
      <c r="AQ87" s="291"/>
      <c r="AR87" s="291"/>
      <c r="AS87" s="291"/>
      <c r="AT87" s="291"/>
      <c r="AU87" s="291"/>
      <c r="AV87" s="291"/>
      <c r="AW87" s="291"/>
      <c r="AX87" s="291"/>
      <c r="AY87" s="291"/>
      <c r="AZ87" s="291"/>
      <c r="BA87" s="291"/>
      <c r="BB87" s="291"/>
      <c r="BC87" s="291"/>
    </row>
    <row r="88" spans="1:55" x14ac:dyDescent="0.2">
      <c r="A88" s="378"/>
      <c r="B88" s="384"/>
      <c r="C88" s="378"/>
      <c r="D88" s="378"/>
      <c r="E88" s="372"/>
      <c r="F88" s="194"/>
      <c r="G88" s="372"/>
      <c r="H88" s="435"/>
      <c r="I88" s="291"/>
      <c r="J88" s="291"/>
      <c r="K88" s="291"/>
      <c r="L88" s="291"/>
      <c r="M88" s="291"/>
      <c r="N88" s="291"/>
      <c r="O88" s="291"/>
      <c r="P88" s="291"/>
      <c r="Q88" s="291"/>
      <c r="R88" s="291"/>
      <c r="S88" s="291"/>
      <c r="T88" s="291"/>
      <c r="U88" s="291"/>
      <c r="V88" s="291"/>
      <c r="W88" s="291"/>
      <c r="X88" s="291"/>
      <c r="Y88" s="291"/>
      <c r="Z88" s="291"/>
      <c r="AA88" s="291"/>
      <c r="AB88" s="291"/>
      <c r="AC88" s="291"/>
      <c r="AD88" s="291"/>
      <c r="AE88" s="291"/>
      <c r="AF88" s="291"/>
      <c r="AG88" s="291"/>
      <c r="AH88" s="291"/>
      <c r="AI88" s="291"/>
      <c r="AJ88" s="291"/>
      <c r="AK88" s="291"/>
      <c r="AL88" s="291"/>
      <c r="AM88" s="291"/>
      <c r="AN88" s="291"/>
      <c r="AO88" s="291"/>
      <c r="AP88" s="291"/>
      <c r="AQ88" s="291"/>
      <c r="AR88" s="291"/>
      <c r="AS88" s="291"/>
      <c r="AT88" s="291"/>
      <c r="AU88" s="291"/>
      <c r="AV88" s="291"/>
      <c r="AW88" s="291"/>
      <c r="AX88" s="291"/>
      <c r="AY88" s="291"/>
      <c r="AZ88" s="291"/>
      <c r="BA88" s="291"/>
      <c r="BB88" s="291"/>
      <c r="BC88" s="291"/>
    </row>
    <row r="89" spans="1:55" x14ac:dyDescent="0.2">
      <c r="A89" s="378"/>
      <c r="B89" s="384"/>
      <c r="C89" s="378"/>
      <c r="D89" s="378"/>
      <c r="E89" s="372"/>
      <c r="F89" s="194"/>
      <c r="G89" s="372"/>
      <c r="H89" s="435"/>
      <c r="I89" s="291"/>
      <c r="J89" s="291"/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1"/>
      <c r="AH89" s="291"/>
      <c r="AI89" s="291"/>
      <c r="AJ89" s="291"/>
      <c r="AK89" s="291"/>
      <c r="AL89" s="291"/>
      <c r="AM89" s="291"/>
      <c r="AN89" s="291"/>
      <c r="AO89" s="291"/>
      <c r="AP89" s="291"/>
      <c r="AQ89" s="291"/>
      <c r="AR89" s="291"/>
      <c r="AS89" s="291"/>
      <c r="AT89" s="291"/>
      <c r="AU89" s="291"/>
      <c r="AV89" s="291"/>
      <c r="AW89" s="291"/>
      <c r="AX89" s="291"/>
      <c r="AY89" s="291"/>
      <c r="AZ89" s="291"/>
      <c r="BA89" s="291"/>
      <c r="BB89" s="291"/>
      <c r="BC89" s="291"/>
    </row>
    <row r="90" spans="1:55" x14ac:dyDescent="0.2">
      <c r="A90" s="170"/>
      <c r="B90" s="170"/>
      <c r="C90" s="167"/>
      <c r="D90" s="167"/>
      <c r="E90" s="372"/>
      <c r="F90" s="194"/>
      <c r="G90" s="373"/>
      <c r="H90" s="422"/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291"/>
      <c r="W90" s="291"/>
      <c r="X90" s="291"/>
      <c r="Y90" s="291"/>
      <c r="Z90" s="291"/>
      <c r="AA90" s="291"/>
      <c r="AB90" s="291"/>
      <c r="AC90" s="291"/>
      <c r="AD90" s="291"/>
      <c r="AE90" s="291"/>
      <c r="AF90" s="291"/>
      <c r="AG90" s="291"/>
      <c r="AH90" s="291"/>
      <c r="AI90" s="291"/>
      <c r="AJ90" s="291"/>
      <c r="AK90" s="291"/>
      <c r="AL90" s="291"/>
      <c r="AM90" s="291"/>
      <c r="AN90" s="291"/>
      <c r="AO90" s="291"/>
      <c r="AP90" s="291"/>
      <c r="AQ90" s="291"/>
      <c r="AR90" s="291"/>
      <c r="AS90" s="291"/>
      <c r="AT90" s="291"/>
      <c r="AU90" s="291"/>
      <c r="AV90" s="291"/>
      <c r="AW90" s="291"/>
      <c r="AX90" s="291"/>
      <c r="AY90" s="291"/>
      <c r="AZ90" s="291"/>
      <c r="BA90" s="291"/>
      <c r="BB90" s="291"/>
      <c r="BC90" s="291"/>
    </row>
    <row r="91" spans="1:55" x14ac:dyDescent="0.2">
      <c r="A91" s="170"/>
      <c r="B91" s="170"/>
      <c r="C91" s="167"/>
      <c r="D91" s="167"/>
      <c r="E91" s="372"/>
      <c r="F91" s="194"/>
      <c r="G91" s="373"/>
      <c r="H91" s="375"/>
      <c r="I91" s="291"/>
      <c r="J91" s="291"/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291"/>
      <c r="W91" s="291"/>
      <c r="X91" s="291"/>
      <c r="Y91" s="291"/>
      <c r="Z91" s="291"/>
      <c r="AA91" s="291"/>
      <c r="AB91" s="291"/>
      <c r="AC91" s="291"/>
      <c r="AD91" s="291"/>
      <c r="AE91" s="291"/>
      <c r="AF91" s="291"/>
      <c r="AG91" s="291"/>
      <c r="AH91" s="291"/>
      <c r="AI91" s="291"/>
      <c r="AJ91" s="291"/>
      <c r="AK91" s="291"/>
      <c r="AL91" s="291"/>
      <c r="AM91" s="291"/>
      <c r="AN91" s="291"/>
      <c r="AO91" s="291"/>
      <c r="AP91" s="291"/>
      <c r="AQ91" s="291"/>
      <c r="AR91" s="291"/>
      <c r="AS91" s="291"/>
      <c r="AT91" s="291"/>
      <c r="AU91" s="291"/>
      <c r="AV91" s="291"/>
      <c r="AW91" s="291"/>
      <c r="AX91" s="291"/>
      <c r="AY91" s="291"/>
      <c r="AZ91" s="291"/>
      <c r="BA91" s="291"/>
      <c r="BB91" s="291"/>
      <c r="BC91" s="291"/>
    </row>
    <row r="92" spans="1:55" x14ac:dyDescent="0.2">
      <c r="A92" s="170"/>
      <c r="B92" s="170"/>
      <c r="C92" s="167"/>
      <c r="D92" s="167"/>
      <c r="E92" s="372"/>
      <c r="F92" s="194"/>
      <c r="G92" s="373"/>
      <c r="H92" s="375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291"/>
      <c r="AA92" s="291"/>
      <c r="AB92" s="291"/>
      <c r="AC92" s="291"/>
      <c r="AD92" s="291"/>
      <c r="AE92" s="291"/>
      <c r="AF92" s="291"/>
      <c r="AG92" s="291"/>
      <c r="AH92" s="291"/>
      <c r="AI92" s="291"/>
      <c r="AJ92" s="291"/>
      <c r="AK92" s="291"/>
      <c r="AL92" s="291"/>
      <c r="AM92" s="291"/>
      <c r="AN92" s="291"/>
      <c r="AO92" s="291"/>
      <c r="AP92" s="291"/>
      <c r="AQ92" s="291"/>
      <c r="AR92" s="291"/>
      <c r="AS92" s="291"/>
      <c r="AT92" s="291"/>
      <c r="AU92" s="291"/>
      <c r="AV92" s="291"/>
      <c r="AW92" s="291"/>
      <c r="AX92" s="291"/>
      <c r="AY92" s="291"/>
      <c r="AZ92" s="291"/>
      <c r="BA92" s="291"/>
      <c r="BB92" s="291"/>
      <c r="BC92" s="291"/>
    </row>
    <row r="93" spans="1:55" x14ac:dyDescent="0.2">
      <c r="A93" s="170"/>
      <c r="B93" s="170"/>
      <c r="C93" s="167"/>
      <c r="D93" s="167"/>
      <c r="E93" s="372"/>
      <c r="F93" s="194"/>
      <c r="G93" s="373"/>
      <c r="H93" s="375"/>
      <c r="I93" s="291"/>
      <c r="J93" s="291"/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291"/>
      <c r="W93" s="291"/>
      <c r="X93" s="291"/>
      <c r="Y93" s="291"/>
      <c r="Z93" s="291"/>
      <c r="AA93" s="291"/>
      <c r="AB93" s="291"/>
      <c r="AC93" s="291"/>
      <c r="AD93" s="291"/>
      <c r="AE93" s="291"/>
      <c r="AF93" s="291"/>
      <c r="AG93" s="291"/>
      <c r="AH93" s="291"/>
      <c r="AI93" s="291"/>
      <c r="AJ93" s="291"/>
      <c r="AK93" s="291"/>
      <c r="AL93" s="291"/>
      <c r="AM93" s="291"/>
      <c r="AN93" s="291"/>
      <c r="AO93" s="291"/>
      <c r="AP93" s="291"/>
      <c r="AQ93" s="291"/>
      <c r="AR93" s="291"/>
      <c r="AS93" s="291"/>
      <c r="AT93" s="291"/>
      <c r="AU93" s="291"/>
      <c r="AV93" s="291"/>
      <c r="AW93" s="291"/>
      <c r="AX93" s="291"/>
      <c r="AY93" s="291"/>
      <c r="AZ93" s="291"/>
      <c r="BA93" s="291"/>
      <c r="BB93" s="291"/>
      <c r="BC93" s="291"/>
    </row>
    <row r="94" spans="1:55" x14ac:dyDescent="0.2">
      <c r="A94" s="170"/>
      <c r="B94" s="170"/>
      <c r="C94" s="167"/>
      <c r="D94" s="167"/>
      <c r="E94" s="372"/>
      <c r="F94" s="194"/>
      <c r="G94" s="373"/>
      <c r="H94" s="375"/>
      <c r="I94" s="291"/>
      <c r="J94" s="291"/>
      <c r="K94" s="291"/>
      <c r="L94" s="291"/>
      <c r="M94" s="291"/>
      <c r="N94" s="291"/>
      <c r="O94" s="291"/>
      <c r="P94" s="291"/>
      <c r="Q94" s="291"/>
      <c r="R94" s="291"/>
      <c r="S94" s="291"/>
      <c r="T94" s="291"/>
      <c r="U94" s="291"/>
      <c r="V94" s="291"/>
      <c r="W94" s="291"/>
      <c r="X94" s="291"/>
      <c r="Y94" s="291"/>
      <c r="Z94" s="291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  <c r="AK94" s="291"/>
      <c r="AL94" s="291"/>
      <c r="AM94" s="291"/>
      <c r="AN94" s="291"/>
      <c r="AO94" s="291"/>
      <c r="AP94" s="291"/>
      <c r="AQ94" s="291"/>
      <c r="AR94" s="291"/>
      <c r="AS94" s="291"/>
      <c r="AT94" s="291"/>
      <c r="AU94" s="291"/>
      <c r="AV94" s="291"/>
      <c r="AW94" s="291"/>
      <c r="AX94" s="291"/>
      <c r="AY94" s="291"/>
      <c r="AZ94" s="291"/>
      <c r="BA94" s="291"/>
      <c r="BB94" s="291"/>
      <c r="BC94" s="291"/>
    </row>
    <row r="95" spans="1:55" x14ac:dyDescent="0.2">
      <c r="A95" s="170"/>
      <c r="B95" s="170"/>
      <c r="C95" s="167"/>
      <c r="D95" s="167"/>
      <c r="E95" s="373"/>
      <c r="F95" s="194"/>
      <c r="G95" s="373"/>
      <c r="H95" s="375"/>
      <c r="I95" s="291"/>
      <c r="J95" s="291"/>
      <c r="K95" s="291"/>
      <c r="L95" s="291"/>
      <c r="M95" s="291"/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291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  <c r="AK95" s="291"/>
      <c r="AL95" s="291"/>
      <c r="AM95" s="291"/>
      <c r="AN95" s="291"/>
      <c r="AO95" s="291"/>
      <c r="AP95" s="291"/>
      <c r="AQ95" s="291"/>
      <c r="AR95" s="291"/>
      <c r="AS95" s="291"/>
      <c r="AT95" s="291"/>
      <c r="AU95" s="291"/>
      <c r="AV95" s="291"/>
      <c r="AW95" s="291"/>
      <c r="AX95" s="291"/>
      <c r="AY95" s="291"/>
      <c r="AZ95" s="291"/>
      <c r="BA95" s="291"/>
      <c r="BB95" s="291"/>
      <c r="BC95" s="291"/>
    </row>
    <row r="96" spans="1:55" x14ac:dyDescent="0.2">
      <c r="A96" s="170"/>
      <c r="B96" s="170"/>
      <c r="C96" s="167"/>
      <c r="D96" s="167"/>
      <c r="E96" s="373"/>
      <c r="F96" s="194"/>
      <c r="G96" s="373"/>
      <c r="H96" s="375"/>
      <c r="I96" s="291"/>
      <c r="J96" s="291"/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291"/>
      <c r="W96" s="291"/>
      <c r="X96" s="291"/>
      <c r="Y96" s="291"/>
      <c r="Z96" s="291"/>
      <c r="AA96" s="291"/>
      <c r="AB96" s="291"/>
      <c r="AC96" s="291"/>
      <c r="AD96" s="291"/>
      <c r="AE96" s="291"/>
      <c r="AF96" s="291"/>
      <c r="AG96" s="291"/>
      <c r="AH96" s="291"/>
      <c r="AI96" s="291"/>
      <c r="AJ96" s="291"/>
      <c r="AK96" s="291"/>
      <c r="AL96" s="291"/>
      <c r="AM96" s="291"/>
      <c r="AN96" s="291"/>
      <c r="AO96" s="291"/>
      <c r="AP96" s="291"/>
      <c r="AQ96" s="291"/>
      <c r="AR96" s="291"/>
      <c r="AS96" s="291"/>
      <c r="AT96" s="291"/>
      <c r="AU96" s="291"/>
      <c r="AV96" s="291"/>
      <c r="AW96" s="291"/>
      <c r="AX96" s="291"/>
      <c r="AY96" s="291"/>
      <c r="AZ96" s="291"/>
      <c r="BA96" s="291"/>
      <c r="BB96" s="291"/>
      <c r="BC96" s="291"/>
    </row>
    <row r="97" spans="1:55" x14ac:dyDescent="0.2">
      <c r="A97" s="376"/>
      <c r="B97" s="376"/>
      <c r="C97" s="371"/>
      <c r="D97" s="371"/>
      <c r="E97" s="376"/>
      <c r="F97" s="197"/>
      <c r="G97" s="376"/>
      <c r="H97" s="377"/>
      <c r="Y97" s="291"/>
      <c r="Z97" s="291"/>
      <c r="AA97" s="291"/>
      <c r="AB97" s="291"/>
      <c r="AC97" s="291"/>
      <c r="AD97" s="291"/>
      <c r="AE97" s="291"/>
      <c r="AF97" s="291"/>
      <c r="AG97" s="291"/>
      <c r="AH97" s="291"/>
      <c r="AI97" s="291"/>
      <c r="AJ97" s="291"/>
      <c r="AK97" s="291"/>
      <c r="AL97" s="291"/>
      <c r="AM97" s="291"/>
      <c r="AN97" s="291"/>
      <c r="AO97" s="291"/>
      <c r="AP97" s="291"/>
      <c r="AQ97" s="291"/>
      <c r="AR97" s="291"/>
      <c r="AS97" s="291"/>
      <c r="AT97" s="291"/>
      <c r="AU97" s="291"/>
      <c r="AV97" s="291"/>
      <c r="AW97" s="291"/>
      <c r="AX97" s="291"/>
      <c r="AY97" s="291"/>
      <c r="AZ97" s="291"/>
      <c r="BA97" s="291"/>
      <c r="BB97" s="291"/>
      <c r="BC97" s="291"/>
    </row>
  </sheetData>
  <conditionalFormatting sqref="Q25:T25 Q27:T54">
    <cfRule type="cellIs" dxfId="14" priority="11" operator="greaterThan">
      <formula>0.999999</formula>
    </cfRule>
  </conditionalFormatting>
  <conditionalFormatting sqref="C24:E24 E28:E29 E31:E34 C36:E48 C50:E75 G50:G75">
    <cfRule type="cellIs" dxfId="13" priority="6" operator="greaterThan">
      <formula>0</formula>
    </cfRule>
  </conditionalFormatting>
  <conditionalFormatting sqref="C28:D29 C31:D34">
    <cfRule type="cellIs" dxfId="12" priority="5" operator="greaterThan">
      <formula>0</formula>
    </cfRule>
  </conditionalFormatting>
  <conditionalFormatting sqref="G36:G48">
    <cfRule type="cellIs" dxfId="11" priority="4" operator="greaterThan">
      <formula>0</formula>
    </cfRule>
  </conditionalFormatting>
  <conditionalFormatting sqref="G28:G29 G31:G34 G25:G26">
    <cfRule type="cellIs" dxfId="10" priority="3" operator="greaterThan">
      <formula>0</formula>
    </cfRule>
  </conditionalFormatting>
  <conditionalFormatting sqref="C78:D89">
    <cfRule type="cellIs" dxfId="9" priority="2" operator="greaterThan">
      <formula>0</formula>
    </cfRule>
  </conditionalFormatting>
  <conditionalFormatting sqref="C25:E26">
    <cfRule type="cellIs" dxfId="8" priority="1" operator="greaterThan">
      <formula>0</formula>
    </cfRule>
  </conditionalFormatting>
  <dataValidations disablePrompts="1" count="3">
    <dataValidation type="decimal" operator="greaterThan" allowBlank="1" showInputMessage="1" showErrorMessage="1" error="not enough fmale replacements if this number is below 35%" sqref="B17:B18">
      <formula1>0.35</formula1>
    </dataValidation>
    <dataValidation type="list" allowBlank="1" showInputMessage="1" showErrorMessage="1" sqref="N4">
      <formula1>$J$25:$J$48</formula1>
    </dataValidation>
    <dataValidation type="list" allowBlank="1" showInputMessage="1" showErrorMessage="1" sqref="F6">
      <formula1>$J$25:$J$55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'Economic values - Indexes'!$B$34:$B$40</xm:f>
          </x14:formula1>
          <xm:sqref>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B126"/>
  <sheetViews>
    <sheetView topLeftCell="A42" zoomScale="85" zoomScaleNormal="85" workbookViewId="0">
      <selection activeCell="G65" sqref="G65"/>
    </sheetView>
  </sheetViews>
  <sheetFormatPr defaultColWidth="8.85546875" defaultRowHeight="12.75" x14ac:dyDescent="0.2"/>
  <cols>
    <col min="1" max="1" width="28.140625" style="189" customWidth="1"/>
    <col min="2" max="5" width="8.85546875" style="189"/>
    <col min="6" max="6" width="15.140625" style="189" customWidth="1"/>
    <col min="7" max="7" width="8.85546875" style="161"/>
    <col min="8" max="42" width="8.85546875" style="189"/>
    <col min="43" max="43" width="8.85546875" style="159"/>
    <col min="44" max="69" width="8.85546875" style="189"/>
    <col min="70" max="70" width="12.140625" style="189" customWidth="1"/>
    <col min="71" max="71" width="12.28515625" style="3" customWidth="1"/>
    <col min="72" max="16384" width="8.85546875" style="189"/>
  </cols>
  <sheetData>
    <row r="1" spans="1:80" ht="20.25" x14ac:dyDescent="0.3">
      <c r="A1" s="211" t="s">
        <v>70</v>
      </c>
      <c r="B1" s="212">
        <v>2</v>
      </c>
      <c r="C1" s="211"/>
      <c r="F1" s="172" t="s">
        <v>171</v>
      </c>
      <c r="G1" s="190" t="s">
        <v>32</v>
      </c>
      <c r="H1" s="159"/>
      <c r="I1" s="159"/>
      <c r="J1" s="159"/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  <c r="W1" s="189">
        <v>23</v>
      </c>
      <c r="X1" s="189">
        <v>24</v>
      </c>
      <c r="Y1" s="189">
        <v>25</v>
      </c>
      <c r="Z1" s="189">
        <v>26</v>
      </c>
      <c r="AA1" s="189">
        <v>27</v>
      </c>
      <c r="AB1" s="189">
        <v>28</v>
      </c>
      <c r="AC1" s="189">
        <v>29</v>
      </c>
      <c r="AD1" s="189">
        <v>30</v>
      </c>
      <c r="AE1" s="189">
        <v>31</v>
      </c>
      <c r="AF1" s="189">
        <v>32</v>
      </c>
      <c r="AG1" s="189">
        <v>33</v>
      </c>
      <c r="AH1" s="189">
        <v>34</v>
      </c>
      <c r="AI1" s="189">
        <v>35</v>
      </c>
      <c r="AJ1" s="189">
        <v>36</v>
      </c>
      <c r="AK1" s="189">
        <v>37</v>
      </c>
      <c r="AL1" s="189">
        <v>38</v>
      </c>
      <c r="AM1" s="189">
        <v>39</v>
      </c>
      <c r="AN1" s="189">
        <v>40</v>
      </c>
      <c r="AO1" s="189">
        <v>41</v>
      </c>
      <c r="AP1" s="189">
        <v>42</v>
      </c>
      <c r="AQ1" s="159">
        <v>43</v>
      </c>
      <c r="AR1" s="189">
        <v>44</v>
      </c>
      <c r="AS1" s="189">
        <v>45</v>
      </c>
      <c r="AT1" s="189">
        <v>46</v>
      </c>
      <c r="AU1" s="189">
        <v>47</v>
      </c>
      <c r="AV1" s="189">
        <v>48</v>
      </c>
      <c r="AW1" s="189">
        <v>49</v>
      </c>
      <c r="AX1" s="189">
        <v>50</v>
      </c>
      <c r="AY1" s="189">
        <v>52</v>
      </c>
      <c r="AZ1" s="189">
        <v>53</v>
      </c>
      <c r="BA1" s="189">
        <v>54</v>
      </c>
      <c r="BB1" s="189">
        <v>55</v>
      </c>
      <c r="BC1" s="189">
        <v>56</v>
      </c>
      <c r="BD1" s="189">
        <v>57</v>
      </c>
      <c r="BE1" s="189">
        <v>58</v>
      </c>
      <c r="BF1" s="189">
        <v>59</v>
      </c>
      <c r="BG1" s="189">
        <v>60</v>
      </c>
      <c r="BH1" s="189">
        <v>61</v>
      </c>
      <c r="BI1" s="189">
        <v>62</v>
      </c>
      <c r="BJ1" s="189">
        <v>63</v>
      </c>
      <c r="BK1" s="189">
        <v>64</v>
      </c>
      <c r="BL1" s="189">
        <v>65</v>
      </c>
      <c r="BM1" s="189">
        <v>66</v>
      </c>
      <c r="BN1" s="189">
        <v>67</v>
      </c>
      <c r="BP1" s="133" t="s">
        <v>90</v>
      </c>
      <c r="BS1" s="189"/>
    </row>
    <row r="2" spans="1:80" x14ac:dyDescent="0.2">
      <c r="B2" s="3" t="s">
        <v>34</v>
      </c>
      <c r="C2" s="3" t="s">
        <v>35</v>
      </c>
      <c r="F2" s="3" t="s">
        <v>36</v>
      </c>
      <c r="G2" s="161" t="str">
        <f>B3</f>
        <v>t1</v>
      </c>
      <c r="H2" s="189" t="str">
        <f>B4</f>
        <v>t2</v>
      </c>
      <c r="BP2" s="133" t="s">
        <v>120</v>
      </c>
      <c r="BS2" s="189"/>
    </row>
    <row r="3" spans="1:80" x14ac:dyDescent="0.2">
      <c r="A3" s="213" t="s">
        <v>235</v>
      </c>
      <c r="B3" s="213" t="s">
        <v>237</v>
      </c>
      <c r="C3" s="213"/>
      <c r="F3" s="220">
        <v>0.3</v>
      </c>
      <c r="G3" s="221">
        <v>0.3</v>
      </c>
      <c r="H3" s="170">
        <v>-0.3</v>
      </c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  <c r="AE3" s="170"/>
      <c r="AF3" s="170"/>
      <c r="AG3" s="170"/>
      <c r="AH3" s="170"/>
      <c r="AI3" s="170"/>
      <c r="AJ3" s="170"/>
      <c r="AK3" s="170"/>
      <c r="AL3" s="170"/>
      <c r="AM3" s="170"/>
      <c r="AN3" s="170"/>
      <c r="AO3" s="170"/>
      <c r="AP3" s="170"/>
      <c r="AR3" s="170"/>
      <c r="AS3" s="170"/>
      <c r="AT3" s="170"/>
      <c r="AU3" s="170"/>
      <c r="AV3" s="170"/>
      <c r="AW3" s="170"/>
      <c r="AX3" s="170"/>
      <c r="AY3" s="170"/>
      <c r="AZ3" s="170"/>
      <c r="BA3" s="170"/>
      <c r="BB3" s="170"/>
      <c r="BC3" s="170"/>
      <c r="BD3" s="170"/>
      <c r="BE3" s="170"/>
      <c r="BF3" s="170"/>
      <c r="BG3" s="170"/>
      <c r="BH3" s="170"/>
      <c r="BI3" s="170"/>
      <c r="BJ3" s="170"/>
      <c r="BK3" s="170"/>
      <c r="BL3" s="170"/>
      <c r="BM3" s="170"/>
      <c r="BN3" s="170"/>
      <c r="BO3" s="170"/>
      <c r="BP3" s="189">
        <v>0</v>
      </c>
      <c r="BS3" s="189"/>
    </row>
    <row r="4" spans="1:80" x14ac:dyDescent="0.2">
      <c r="A4" s="213" t="s">
        <v>236</v>
      </c>
      <c r="B4" s="213" t="s">
        <v>238</v>
      </c>
      <c r="C4" s="213"/>
      <c r="F4" s="220">
        <v>0.1</v>
      </c>
      <c r="G4" s="221">
        <v>-0.3</v>
      </c>
      <c r="H4" s="170">
        <v>0.1</v>
      </c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89">
        <v>0</v>
      </c>
      <c r="BS4" s="189"/>
    </row>
    <row r="5" spans="1:80" x14ac:dyDescent="0.2">
      <c r="A5" s="170"/>
      <c r="B5" s="170"/>
      <c r="C5" s="213"/>
      <c r="F5" s="220"/>
      <c r="G5" s="221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170"/>
      <c r="AR5" s="170"/>
      <c r="AS5" s="170"/>
      <c r="AT5" s="170"/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70"/>
      <c r="BL5" s="170"/>
      <c r="BM5" s="170"/>
      <c r="BN5" s="170"/>
      <c r="BO5" s="170"/>
      <c r="BP5" s="189">
        <v>0</v>
      </c>
      <c r="BS5" s="189"/>
    </row>
    <row r="6" spans="1:80" x14ac:dyDescent="0.2">
      <c r="A6" s="170"/>
      <c r="B6" s="170"/>
      <c r="C6" s="213"/>
      <c r="F6" s="220"/>
      <c r="G6" s="221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0"/>
      <c r="BE6" s="170"/>
      <c r="BF6" s="170"/>
      <c r="BG6" s="170"/>
      <c r="BH6" s="170"/>
      <c r="BI6" s="170"/>
      <c r="BJ6" s="170"/>
      <c r="BK6" s="170"/>
      <c r="BL6" s="170"/>
      <c r="BM6" s="170"/>
      <c r="BN6" s="170"/>
      <c r="BO6" s="170"/>
      <c r="BP6" s="189">
        <v>0</v>
      </c>
      <c r="BS6" s="189"/>
    </row>
    <row r="7" spans="1:80" x14ac:dyDescent="0.2">
      <c r="A7" s="170"/>
      <c r="B7" s="170"/>
      <c r="C7" s="213"/>
      <c r="F7" s="220"/>
      <c r="G7" s="221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R7" s="170"/>
      <c r="AS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89">
        <v>0</v>
      </c>
      <c r="BS7" s="189"/>
    </row>
    <row r="8" spans="1:80" x14ac:dyDescent="0.2">
      <c r="A8" s="170"/>
      <c r="B8" s="170"/>
      <c r="C8" s="213"/>
      <c r="F8" s="220"/>
      <c r="G8" s="221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89">
        <v>0</v>
      </c>
      <c r="BS8" s="189"/>
    </row>
    <row r="9" spans="1:80" x14ac:dyDescent="0.2">
      <c r="A9" s="170"/>
      <c r="B9" s="170"/>
      <c r="C9" s="213"/>
      <c r="F9" s="220"/>
      <c r="G9" s="221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0"/>
      <c r="AP9" s="170"/>
      <c r="AR9" s="170"/>
      <c r="AS9" s="170"/>
      <c r="AT9" s="170"/>
      <c r="AU9" s="170"/>
      <c r="AV9" s="170"/>
      <c r="AW9" s="170"/>
      <c r="AX9" s="170"/>
      <c r="AY9" s="170"/>
      <c r="AZ9" s="170"/>
      <c r="BA9" s="170"/>
      <c r="BB9" s="170"/>
      <c r="BC9" s="170"/>
      <c r="BD9" s="170"/>
      <c r="BE9" s="170"/>
      <c r="BF9" s="170"/>
      <c r="BG9" s="170"/>
      <c r="BH9" s="170"/>
      <c r="BI9" s="170"/>
      <c r="BJ9" s="170"/>
      <c r="BK9" s="170"/>
      <c r="BL9" s="170"/>
      <c r="BM9" s="170"/>
      <c r="BN9" s="170"/>
      <c r="BO9" s="170"/>
      <c r="BP9" s="189">
        <v>0</v>
      </c>
      <c r="BS9" s="189"/>
    </row>
    <row r="10" spans="1:80" x14ac:dyDescent="0.2">
      <c r="A10" s="170"/>
      <c r="B10" s="170"/>
      <c r="C10" s="213"/>
      <c r="F10" s="220"/>
      <c r="G10" s="221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170"/>
      <c r="BJ10" s="170"/>
      <c r="BK10" s="170"/>
      <c r="BL10" s="170"/>
      <c r="BM10" s="170"/>
      <c r="BN10" s="170"/>
      <c r="BO10" s="170"/>
      <c r="BP10" s="189">
        <v>0</v>
      </c>
      <c r="BS10" s="189"/>
    </row>
    <row r="11" spans="1:80" x14ac:dyDescent="0.2">
      <c r="A11" s="170"/>
      <c r="B11" s="170"/>
      <c r="C11" s="213"/>
      <c r="F11" s="220"/>
      <c r="G11" s="221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89">
        <v>0</v>
      </c>
      <c r="BS11" s="189"/>
    </row>
    <row r="12" spans="1:80" x14ac:dyDescent="0.2">
      <c r="A12" s="170"/>
      <c r="B12" s="170"/>
      <c r="C12" s="213"/>
      <c r="F12" s="220"/>
      <c r="G12" s="221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170"/>
      <c r="W12" s="170"/>
      <c r="X12" s="170"/>
      <c r="Y12" s="170"/>
      <c r="Z12" s="170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89">
        <v>0</v>
      </c>
      <c r="BS12" s="189"/>
    </row>
    <row r="13" spans="1:80" x14ac:dyDescent="0.2">
      <c r="A13" s="170"/>
      <c r="B13" s="170"/>
      <c r="C13" s="213"/>
      <c r="F13" s="220"/>
      <c r="G13" s="221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89">
        <v>0</v>
      </c>
      <c r="BS13" s="189"/>
    </row>
    <row r="14" spans="1:80" x14ac:dyDescent="0.2">
      <c r="A14" s="170"/>
      <c r="B14" s="170"/>
      <c r="C14" s="213"/>
      <c r="F14" s="220"/>
      <c r="G14" s="221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89">
        <v>0</v>
      </c>
      <c r="BS14" s="189"/>
    </row>
    <row r="15" spans="1:80" s="201" customFormat="1" x14ac:dyDescent="0.2">
      <c r="A15" s="170"/>
      <c r="B15" s="170"/>
      <c r="C15" s="213"/>
      <c r="D15" s="189"/>
      <c r="E15" s="189"/>
      <c r="F15" s="220"/>
      <c r="G15" s="221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59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89">
        <v>0</v>
      </c>
      <c r="BQ15" s="189"/>
      <c r="BR15" s="189"/>
      <c r="BS15" s="189"/>
      <c r="BT15" s="189"/>
      <c r="BU15" s="189"/>
      <c r="BV15" s="189"/>
      <c r="BW15" s="189"/>
      <c r="BX15" s="189"/>
      <c r="BY15" s="189"/>
      <c r="BZ15" s="189"/>
      <c r="CA15" s="189"/>
      <c r="CB15" s="189"/>
    </row>
    <row r="16" spans="1:80" x14ac:dyDescent="0.2">
      <c r="A16" s="170"/>
      <c r="B16" s="170"/>
      <c r="C16" s="213"/>
      <c r="F16" s="220"/>
      <c r="G16" s="221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89">
        <v>0</v>
      </c>
      <c r="BS16" s="189"/>
    </row>
    <row r="17" spans="1:80" x14ac:dyDescent="0.2">
      <c r="A17" s="170"/>
      <c r="B17" s="170"/>
      <c r="C17" s="213"/>
      <c r="F17" s="220"/>
      <c r="G17" s="221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89">
        <v>0</v>
      </c>
      <c r="BS17" s="189"/>
    </row>
    <row r="18" spans="1:80" x14ac:dyDescent="0.2">
      <c r="A18" s="170"/>
      <c r="B18" s="170"/>
      <c r="C18" s="213"/>
      <c r="F18" s="220"/>
      <c r="G18" s="221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170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89">
        <v>0</v>
      </c>
      <c r="BS18" s="189"/>
    </row>
    <row r="19" spans="1:80" x14ac:dyDescent="0.2">
      <c r="A19" s="170"/>
      <c r="B19" s="170"/>
      <c r="C19" s="213"/>
      <c r="F19" s="220"/>
      <c r="G19" s="221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  <c r="Z19" s="170"/>
      <c r="AA19" s="170"/>
      <c r="AB19" s="170"/>
      <c r="AC19" s="170"/>
      <c r="AD19" s="170"/>
      <c r="AE19" s="170"/>
      <c r="AF19" s="170"/>
      <c r="AG19" s="170"/>
      <c r="AH19" s="170"/>
      <c r="AI19" s="170"/>
      <c r="AJ19" s="170"/>
      <c r="AK19" s="170"/>
      <c r="AL19" s="170"/>
      <c r="AM19" s="170"/>
      <c r="AN19" s="170"/>
      <c r="AO19" s="170"/>
      <c r="AP19" s="170"/>
      <c r="AR19" s="170"/>
      <c r="AS19" s="170"/>
      <c r="AT19" s="170"/>
      <c r="AU19" s="170"/>
      <c r="AV19" s="170"/>
      <c r="AW19" s="170"/>
      <c r="AX19" s="170"/>
      <c r="AY19" s="170"/>
      <c r="AZ19" s="170"/>
      <c r="BA19" s="170"/>
      <c r="BB19" s="170"/>
      <c r="BC19" s="170"/>
      <c r="BD19" s="170"/>
      <c r="BE19" s="170"/>
      <c r="BF19" s="170"/>
      <c r="BG19" s="170"/>
      <c r="BH19" s="170"/>
      <c r="BI19" s="170"/>
      <c r="BJ19" s="170"/>
      <c r="BK19" s="170"/>
      <c r="BL19" s="170"/>
      <c r="BM19" s="170"/>
      <c r="BN19" s="170"/>
      <c r="BO19" s="170"/>
      <c r="BP19" s="189">
        <v>0</v>
      </c>
      <c r="BS19" s="189"/>
    </row>
    <row r="20" spans="1:80" x14ac:dyDescent="0.2">
      <c r="A20" s="170"/>
      <c r="B20" s="170"/>
      <c r="C20" s="213"/>
      <c r="F20" s="220"/>
      <c r="G20" s="221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70"/>
      <c r="BC20" s="170"/>
      <c r="BD20" s="170"/>
      <c r="BE20" s="170"/>
      <c r="BF20" s="170"/>
      <c r="BG20" s="170"/>
      <c r="BH20" s="170"/>
      <c r="BI20" s="170"/>
      <c r="BJ20" s="170"/>
      <c r="BK20" s="170"/>
      <c r="BL20" s="170"/>
      <c r="BM20" s="170"/>
      <c r="BN20" s="170"/>
      <c r="BO20" s="170"/>
      <c r="BP20" s="189">
        <v>0</v>
      </c>
      <c r="BS20" s="189"/>
    </row>
    <row r="21" spans="1:80" s="19" customFormat="1" x14ac:dyDescent="0.2">
      <c r="A21" s="170"/>
      <c r="B21" s="170"/>
      <c r="C21" s="213"/>
      <c r="D21" s="189"/>
      <c r="E21" s="189"/>
      <c r="F21" s="220"/>
      <c r="G21" s="221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59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0"/>
      <c r="BL21" s="170"/>
      <c r="BM21" s="170"/>
      <c r="BN21" s="170"/>
      <c r="BO21" s="170"/>
      <c r="BP21" s="189">
        <v>0</v>
      </c>
      <c r="BQ21" s="189"/>
      <c r="BR21" s="189"/>
      <c r="BS21" s="189"/>
      <c r="BT21" s="189"/>
      <c r="BU21" s="189"/>
      <c r="BV21" s="189"/>
      <c r="BW21" s="189"/>
      <c r="BX21" s="189"/>
      <c r="BY21" s="189"/>
      <c r="BZ21" s="189"/>
      <c r="CA21" s="189"/>
      <c r="CB21" s="189"/>
    </row>
    <row r="22" spans="1:80" x14ac:dyDescent="0.2">
      <c r="A22" s="170"/>
      <c r="B22" s="170"/>
      <c r="C22" s="213"/>
      <c r="F22" s="220"/>
      <c r="G22" s="221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70"/>
      <c r="BC22" s="170"/>
      <c r="BD22" s="170"/>
      <c r="BE22" s="170"/>
      <c r="BF22" s="170"/>
      <c r="BG22" s="170"/>
      <c r="BH22" s="170"/>
      <c r="BI22" s="170"/>
      <c r="BJ22" s="170"/>
      <c r="BK22" s="170"/>
      <c r="BL22" s="170"/>
      <c r="BM22" s="170"/>
      <c r="BN22" s="170"/>
      <c r="BO22" s="170"/>
      <c r="BP22" s="189">
        <v>0</v>
      </c>
      <c r="BS22" s="189"/>
    </row>
    <row r="23" spans="1:80" x14ac:dyDescent="0.2">
      <c r="A23" s="170"/>
      <c r="B23" s="170"/>
      <c r="C23" s="213"/>
      <c r="F23" s="220"/>
      <c r="G23" s="221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170"/>
      <c r="BB23" s="170"/>
      <c r="BC23" s="170"/>
      <c r="BD23" s="170"/>
      <c r="BE23" s="170"/>
      <c r="BF23" s="170"/>
      <c r="BG23" s="170"/>
      <c r="BH23" s="170"/>
      <c r="BI23" s="170"/>
      <c r="BJ23" s="170"/>
      <c r="BK23" s="170"/>
      <c r="BL23" s="170"/>
      <c r="BM23" s="170"/>
      <c r="BN23" s="170"/>
      <c r="BO23" s="170"/>
      <c r="BP23" s="189">
        <v>0</v>
      </c>
      <c r="BS23" s="189"/>
    </row>
    <row r="24" spans="1:80" x14ac:dyDescent="0.2">
      <c r="A24" s="170"/>
      <c r="B24" s="170"/>
      <c r="C24" s="213"/>
      <c r="F24" s="220"/>
      <c r="G24" s="221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89">
        <v>0</v>
      </c>
      <c r="BS24" s="189"/>
    </row>
    <row r="25" spans="1:80" x14ac:dyDescent="0.2">
      <c r="A25" s="170"/>
      <c r="B25" s="170"/>
      <c r="C25" s="213"/>
      <c r="F25" s="220"/>
      <c r="G25" s="221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170"/>
      <c r="AD25" s="170"/>
      <c r="AE25" s="170"/>
      <c r="AF25" s="170"/>
      <c r="AG25" s="170"/>
      <c r="AH25" s="170"/>
      <c r="AI25" s="170"/>
      <c r="AJ25" s="170"/>
      <c r="AK25" s="170"/>
      <c r="AL25" s="170"/>
      <c r="AM25" s="170"/>
      <c r="AN25" s="170"/>
      <c r="AO25" s="170"/>
      <c r="AP25" s="170"/>
      <c r="AR25" s="170"/>
      <c r="AS25" s="170"/>
      <c r="AT25" s="170"/>
      <c r="AU25" s="170"/>
      <c r="AV25" s="170"/>
      <c r="AW25" s="170"/>
      <c r="AX25" s="170"/>
      <c r="AY25" s="170"/>
      <c r="AZ25" s="170"/>
      <c r="BA25" s="170"/>
      <c r="BB25" s="170"/>
      <c r="BC25" s="170"/>
      <c r="BD25" s="170"/>
      <c r="BE25" s="170"/>
      <c r="BF25" s="170"/>
      <c r="BG25" s="170"/>
      <c r="BH25" s="170"/>
      <c r="BI25" s="170"/>
      <c r="BJ25" s="170"/>
      <c r="BK25" s="170"/>
      <c r="BL25" s="170"/>
      <c r="BM25" s="170"/>
      <c r="BN25" s="170"/>
      <c r="BO25" s="170"/>
      <c r="BP25" s="189">
        <v>0</v>
      </c>
      <c r="BS25" s="189"/>
    </row>
    <row r="26" spans="1:80" x14ac:dyDescent="0.2">
      <c r="A26" s="170"/>
      <c r="B26" s="170"/>
      <c r="C26" s="213"/>
      <c r="F26" s="220"/>
      <c r="G26" s="221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170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70"/>
      <c r="AP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70"/>
      <c r="BC26" s="170"/>
      <c r="BD26" s="170"/>
      <c r="BE26" s="170"/>
      <c r="BF26" s="170"/>
      <c r="BG26" s="170"/>
      <c r="BH26" s="170"/>
      <c r="BI26" s="170"/>
      <c r="BJ26" s="170"/>
      <c r="BK26" s="170"/>
      <c r="BL26" s="170"/>
      <c r="BM26" s="170"/>
      <c r="BN26" s="170"/>
      <c r="BO26" s="170"/>
      <c r="BP26" s="189">
        <v>0</v>
      </c>
      <c r="BS26" s="189"/>
    </row>
    <row r="27" spans="1:80" x14ac:dyDescent="0.2">
      <c r="A27" s="170"/>
      <c r="B27" s="170"/>
      <c r="C27" s="213"/>
      <c r="F27" s="220"/>
      <c r="G27" s="221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0"/>
      <c r="BD27" s="170"/>
      <c r="BE27" s="170"/>
      <c r="BF27" s="170"/>
      <c r="BG27" s="170"/>
      <c r="BH27" s="170"/>
      <c r="BI27" s="170"/>
      <c r="BJ27" s="170"/>
      <c r="BK27" s="170"/>
      <c r="BL27" s="170"/>
      <c r="BM27" s="170"/>
      <c r="BN27" s="170"/>
      <c r="BO27" s="170"/>
      <c r="BP27" s="189">
        <v>0</v>
      </c>
      <c r="BS27" s="189"/>
    </row>
    <row r="28" spans="1:80" x14ac:dyDescent="0.2">
      <c r="A28" s="170"/>
      <c r="B28" s="170"/>
      <c r="C28" s="213"/>
      <c r="F28" s="220"/>
      <c r="G28" s="221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70"/>
      <c r="AP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70"/>
      <c r="BC28" s="170"/>
      <c r="BD28" s="170"/>
      <c r="BE28" s="170"/>
      <c r="BF28" s="170"/>
      <c r="BG28" s="170"/>
      <c r="BH28" s="170"/>
      <c r="BI28" s="170"/>
      <c r="BJ28" s="170"/>
      <c r="BK28" s="170"/>
      <c r="BL28" s="170"/>
      <c r="BM28" s="170"/>
      <c r="BN28" s="170"/>
      <c r="BO28" s="170"/>
      <c r="BP28" s="189">
        <v>0</v>
      </c>
      <c r="BS28" s="189"/>
    </row>
    <row r="29" spans="1:80" x14ac:dyDescent="0.2">
      <c r="A29" s="170"/>
      <c r="B29" s="170"/>
      <c r="C29" s="213"/>
      <c r="F29" s="220"/>
      <c r="G29" s="221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0"/>
      <c r="AO29" s="170"/>
      <c r="AP29" s="170"/>
      <c r="AR29" s="170"/>
      <c r="AS29" s="170"/>
      <c r="AT29" s="170"/>
      <c r="AU29" s="170"/>
      <c r="AV29" s="170"/>
      <c r="AW29" s="170"/>
      <c r="AX29" s="170"/>
      <c r="AY29" s="170"/>
      <c r="AZ29" s="170"/>
      <c r="BA29" s="170"/>
      <c r="BB29" s="170"/>
      <c r="BC29" s="170"/>
      <c r="BD29" s="170"/>
      <c r="BE29" s="170"/>
      <c r="BF29" s="170"/>
      <c r="BG29" s="170"/>
      <c r="BH29" s="170"/>
      <c r="BI29" s="170"/>
      <c r="BJ29" s="170"/>
      <c r="BK29" s="170"/>
      <c r="BL29" s="170"/>
      <c r="BM29" s="170"/>
      <c r="BN29" s="170"/>
      <c r="BO29" s="170"/>
      <c r="BP29" s="189">
        <v>0</v>
      </c>
      <c r="BS29" s="189"/>
    </row>
    <row r="30" spans="1:80" x14ac:dyDescent="0.2">
      <c r="A30" s="170"/>
      <c r="B30" s="170"/>
      <c r="C30" s="213"/>
      <c r="F30" s="220"/>
      <c r="G30" s="221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P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70"/>
      <c r="BC30" s="170"/>
      <c r="BD30" s="170"/>
      <c r="BE30" s="170"/>
      <c r="BF30" s="170"/>
      <c r="BG30" s="170"/>
      <c r="BH30" s="170"/>
      <c r="BI30" s="170"/>
      <c r="BJ30" s="170"/>
      <c r="BK30" s="170"/>
      <c r="BL30" s="170"/>
      <c r="BM30" s="170"/>
      <c r="BN30" s="170"/>
      <c r="BO30" s="170"/>
      <c r="BP30" s="189">
        <v>0</v>
      </c>
      <c r="BS30" s="189"/>
    </row>
    <row r="31" spans="1:80" x14ac:dyDescent="0.2">
      <c r="A31" s="170"/>
      <c r="B31" s="170"/>
      <c r="C31" s="213"/>
      <c r="F31" s="220"/>
      <c r="G31" s="221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  <c r="AP31" s="170"/>
      <c r="AR31" s="170"/>
      <c r="AS31" s="170"/>
      <c r="AT31" s="170"/>
      <c r="AU31" s="170"/>
      <c r="AV31" s="170"/>
      <c r="AW31" s="170"/>
      <c r="AX31" s="170"/>
      <c r="AY31" s="170"/>
      <c r="AZ31" s="170"/>
      <c r="BA31" s="170"/>
      <c r="BB31" s="170"/>
      <c r="BC31" s="170"/>
      <c r="BD31" s="170"/>
      <c r="BE31" s="170"/>
      <c r="BF31" s="170"/>
      <c r="BG31" s="170"/>
      <c r="BH31" s="170"/>
      <c r="BI31" s="170"/>
      <c r="BJ31" s="170"/>
      <c r="BK31" s="170"/>
      <c r="BL31" s="170"/>
      <c r="BM31" s="170"/>
      <c r="BN31" s="170"/>
      <c r="BO31" s="170"/>
      <c r="BP31" s="189">
        <v>0</v>
      </c>
      <c r="BS31" s="189"/>
    </row>
    <row r="32" spans="1:80" x14ac:dyDescent="0.2">
      <c r="A32" s="170"/>
      <c r="B32" s="170"/>
      <c r="C32" s="213"/>
      <c r="F32" s="220"/>
      <c r="G32" s="221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70"/>
      <c r="AP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70"/>
      <c r="BC32" s="170"/>
      <c r="BD32" s="170"/>
      <c r="BE32" s="170"/>
      <c r="BF32" s="170"/>
      <c r="BG32" s="170"/>
      <c r="BH32" s="170"/>
      <c r="BI32" s="170"/>
      <c r="BJ32" s="170"/>
      <c r="BK32" s="170"/>
      <c r="BL32" s="170"/>
      <c r="BM32" s="170"/>
      <c r="BN32" s="170"/>
      <c r="BO32" s="170"/>
      <c r="BP32" s="189">
        <v>0</v>
      </c>
      <c r="BS32" s="189"/>
    </row>
    <row r="33" spans="1:71" x14ac:dyDescent="0.2">
      <c r="A33" s="170"/>
      <c r="B33" s="170"/>
      <c r="C33" s="213"/>
      <c r="F33" s="220"/>
      <c r="G33" s="221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70"/>
      <c r="T33" s="170"/>
      <c r="U33" s="170"/>
      <c r="V33" s="170"/>
      <c r="W33" s="170"/>
      <c r="X33" s="170"/>
      <c r="Y33" s="170"/>
      <c r="Z33" s="170"/>
      <c r="AA33" s="170"/>
      <c r="AB33" s="170"/>
      <c r="AC33" s="170"/>
      <c r="AD33" s="170"/>
      <c r="AE33" s="170"/>
      <c r="AF33" s="170"/>
      <c r="AG33" s="170"/>
      <c r="AH33" s="170"/>
      <c r="AI33" s="170"/>
      <c r="AJ33" s="170"/>
      <c r="AK33" s="170"/>
      <c r="AL33" s="170"/>
      <c r="AM33" s="170"/>
      <c r="AN33" s="170"/>
      <c r="AO33" s="170"/>
      <c r="AP33" s="170"/>
      <c r="AR33" s="170"/>
      <c r="AS33" s="170"/>
      <c r="AT33" s="170"/>
      <c r="AU33" s="170"/>
      <c r="AV33" s="170"/>
      <c r="AW33" s="170"/>
      <c r="AX33" s="170"/>
      <c r="AY33" s="170"/>
      <c r="AZ33" s="170"/>
      <c r="BA33" s="170"/>
      <c r="BB33" s="170"/>
      <c r="BC33" s="170"/>
      <c r="BD33" s="170"/>
      <c r="BE33" s="170"/>
      <c r="BF33" s="170"/>
      <c r="BG33" s="170"/>
      <c r="BH33" s="170"/>
      <c r="BI33" s="170"/>
      <c r="BJ33" s="170"/>
      <c r="BK33" s="170"/>
      <c r="BL33" s="170"/>
      <c r="BM33" s="170"/>
      <c r="BN33" s="170"/>
      <c r="BO33" s="170"/>
      <c r="BP33" s="189">
        <v>0</v>
      </c>
      <c r="BS33" s="189"/>
    </row>
    <row r="34" spans="1:71" x14ac:dyDescent="0.2">
      <c r="A34" s="170"/>
      <c r="B34" s="170"/>
      <c r="C34" s="213"/>
      <c r="F34" s="220"/>
      <c r="G34" s="221"/>
      <c r="H34" s="170"/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70"/>
      <c r="AP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70"/>
      <c r="BC34" s="170"/>
      <c r="BD34" s="170"/>
      <c r="BE34" s="170"/>
      <c r="BF34" s="170"/>
      <c r="BG34" s="170"/>
      <c r="BH34" s="170"/>
      <c r="BI34" s="170"/>
      <c r="BJ34" s="170"/>
      <c r="BK34" s="170"/>
      <c r="BL34" s="170"/>
      <c r="BM34" s="170"/>
      <c r="BN34" s="170"/>
      <c r="BO34" s="170"/>
      <c r="BP34" s="189">
        <v>0</v>
      </c>
      <c r="BS34" s="189"/>
    </row>
    <row r="35" spans="1:71" x14ac:dyDescent="0.2">
      <c r="A35" s="170"/>
      <c r="B35" s="170"/>
      <c r="C35" s="213"/>
      <c r="F35" s="220"/>
      <c r="G35" s="221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70"/>
      <c r="AG35" s="170"/>
      <c r="AH35" s="170"/>
      <c r="AI35" s="170"/>
      <c r="AJ35" s="170"/>
      <c r="AK35" s="170"/>
      <c r="AL35" s="170"/>
      <c r="AM35" s="170"/>
      <c r="AN35" s="170"/>
      <c r="AO35" s="170"/>
      <c r="AP35" s="170"/>
      <c r="AR35" s="170"/>
      <c r="AS35" s="170"/>
      <c r="AT35" s="170"/>
      <c r="AU35" s="170"/>
      <c r="AV35" s="170"/>
      <c r="AW35" s="170"/>
      <c r="AX35" s="170"/>
      <c r="AY35" s="170"/>
      <c r="AZ35" s="170"/>
      <c r="BA35" s="170"/>
      <c r="BB35" s="170"/>
      <c r="BC35" s="170"/>
      <c r="BD35" s="170"/>
      <c r="BE35" s="170"/>
      <c r="BF35" s="170"/>
      <c r="BG35" s="170"/>
      <c r="BH35" s="170"/>
      <c r="BI35" s="170"/>
      <c r="BJ35" s="170"/>
      <c r="BK35" s="170"/>
      <c r="BL35" s="170"/>
      <c r="BM35" s="170"/>
      <c r="BN35" s="170"/>
      <c r="BO35" s="170"/>
      <c r="BP35" s="189">
        <v>0</v>
      </c>
      <c r="BS35" s="189"/>
    </row>
    <row r="36" spans="1:71" x14ac:dyDescent="0.2">
      <c r="A36" s="170"/>
      <c r="B36" s="170"/>
      <c r="C36" s="213"/>
      <c r="F36" s="220"/>
      <c r="G36" s="221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170"/>
      <c r="AC36" s="170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70"/>
      <c r="AP36" s="170"/>
      <c r="AR36" s="170"/>
      <c r="AS36" s="170"/>
      <c r="AT36" s="170"/>
      <c r="AU36" s="170"/>
      <c r="AV36" s="170"/>
      <c r="AW36" s="170"/>
      <c r="AX36" s="170"/>
      <c r="AY36" s="170"/>
      <c r="AZ36" s="170"/>
      <c r="BA36" s="170"/>
      <c r="BB36" s="170"/>
      <c r="BC36" s="170"/>
      <c r="BD36" s="170"/>
      <c r="BE36" s="170"/>
      <c r="BF36" s="170"/>
      <c r="BG36" s="170"/>
      <c r="BH36" s="170"/>
      <c r="BI36" s="170"/>
      <c r="BJ36" s="170"/>
      <c r="BK36" s="170"/>
      <c r="BL36" s="170"/>
      <c r="BM36" s="170"/>
      <c r="BN36" s="170"/>
      <c r="BO36" s="170"/>
      <c r="BP36" s="189">
        <v>0</v>
      </c>
      <c r="BS36" s="189"/>
    </row>
    <row r="37" spans="1:71" x14ac:dyDescent="0.2">
      <c r="A37" s="170"/>
      <c r="B37" s="170"/>
      <c r="C37" s="213"/>
      <c r="F37" s="220"/>
      <c r="G37" s="221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  <c r="Z37" s="170"/>
      <c r="AA37" s="170"/>
      <c r="AB37" s="170"/>
      <c r="AC37" s="170"/>
      <c r="AD37" s="170"/>
      <c r="AE37" s="170"/>
      <c r="AF37" s="170"/>
      <c r="AG37" s="170"/>
      <c r="AH37" s="170"/>
      <c r="AI37" s="170"/>
      <c r="AJ37" s="170"/>
      <c r="AK37" s="170"/>
      <c r="AL37" s="170"/>
      <c r="AM37" s="170"/>
      <c r="AN37" s="170"/>
      <c r="AO37" s="170"/>
      <c r="AP37" s="170"/>
      <c r="AR37" s="170"/>
      <c r="AS37" s="170"/>
      <c r="AT37" s="170"/>
      <c r="AU37" s="170"/>
      <c r="AV37" s="170"/>
      <c r="AW37" s="170"/>
      <c r="AX37" s="170"/>
      <c r="AY37" s="170"/>
      <c r="AZ37" s="170"/>
      <c r="BA37" s="170"/>
      <c r="BB37" s="170"/>
      <c r="BC37" s="170"/>
      <c r="BD37" s="170"/>
      <c r="BE37" s="170"/>
      <c r="BF37" s="170"/>
      <c r="BG37" s="170"/>
      <c r="BH37" s="170"/>
      <c r="BI37" s="170"/>
      <c r="BJ37" s="170"/>
      <c r="BK37" s="170"/>
      <c r="BL37" s="170"/>
      <c r="BM37" s="170"/>
      <c r="BN37" s="170"/>
      <c r="BO37" s="170"/>
      <c r="BP37" s="189">
        <v>0</v>
      </c>
      <c r="BS37" s="189"/>
    </row>
    <row r="38" spans="1:71" x14ac:dyDescent="0.2">
      <c r="A38" s="170"/>
      <c r="B38" s="170"/>
      <c r="C38" s="213"/>
      <c r="F38" s="220"/>
      <c r="G38" s="221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  <c r="BC38" s="170"/>
      <c r="BD38" s="170"/>
      <c r="BE38" s="170"/>
      <c r="BF38" s="170"/>
      <c r="BG38" s="170"/>
      <c r="BH38" s="170"/>
      <c r="BI38" s="170"/>
      <c r="BJ38" s="170"/>
      <c r="BK38" s="170"/>
      <c r="BL38" s="170"/>
      <c r="BM38" s="170"/>
      <c r="BN38" s="170"/>
      <c r="BO38" s="170"/>
      <c r="BP38" s="189">
        <v>0</v>
      </c>
      <c r="BS38" s="189"/>
    </row>
    <row r="39" spans="1:71" s="159" customFormat="1" x14ac:dyDescent="0.2">
      <c r="C39" s="191"/>
      <c r="F39" s="233"/>
      <c r="G39" s="190"/>
      <c r="BP39" s="159">
        <v>0</v>
      </c>
    </row>
    <row r="40" spans="1:71" x14ac:dyDescent="0.2">
      <c r="A40" s="170"/>
      <c r="B40" s="170"/>
      <c r="C40" s="213"/>
      <c r="F40" s="220"/>
      <c r="G40" s="221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89">
        <v>1.04</v>
      </c>
      <c r="BS40" s="189"/>
    </row>
    <row r="41" spans="1:71" x14ac:dyDescent="0.2">
      <c r="A41" s="170"/>
      <c r="B41" s="170"/>
      <c r="C41" s="213"/>
      <c r="F41" s="220"/>
      <c r="G41" s="221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  <c r="AI41" s="170"/>
      <c r="AJ41" s="170"/>
      <c r="AK41" s="170"/>
      <c r="AL41" s="170"/>
      <c r="AM41" s="170"/>
      <c r="AN41" s="170"/>
      <c r="AO41" s="170"/>
      <c r="AP41" s="170"/>
      <c r="AR41" s="170"/>
      <c r="AS41" s="170"/>
      <c r="AT41" s="170"/>
      <c r="AU41" s="170"/>
      <c r="AV41" s="170"/>
      <c r="AW41" s="170"/>
      <c r="AX41" s="170"/>
      <c r="AY41" s="170"/>
      <c r="AZ41" s="170"/>
      <c r="BA41" s="170"/>
      <c r="BB41" s="170"/>
      <c r="BC41" s="170"/>
      <c r="BD41" s="170"/>
      <c r="BE41" s="170"/>
      <c r="BF41" s="170"/>
      <c r="BG41" s="170"/>
      <c r="BH41" s="170"/>
      <c r="BI41" s="170"/>
      <c r="BJ41" s="170"/>
      <c r="BK41" s="170"/>
      <c r="BL41" s="170"/>
      <c r="BM41" s="170"/>
      <c r="BN41" s="170"/>
      <c r="BO41" s="170"/>
      <c r="BP41" s="189">
        <v>0</v>
      </c>
      <c r="BS41" s="189"/>
    </row>
    <row r="42" spans="1:71" x14ac:dyDescent="0.2">
      <c r="A42" s="170"/>
      <c r="B42" s="170"/>
      <c r="C42" s="213"/>
      <c r="F42" s="220"/>
      <c r="G42" s="221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0"/>
      <c r="U42" s="170"/>
      <c r="V42" s="170"/>
      <c r="W42" s="170"/>
      <c r="X42" s="170"/>
      <c r="Y42" s="170"/>
      <c r="Z42" s="170"/>
      <c r="AA42" s="170"/>
      <c r="AB42" s="170"/>
      <c r="AC42" s="170"/>
      <c r="AD42" s="170"/>
      <c r="AE42" s="170"/>
      <c r="AF42" s="170"/>
      <c r="AG42" s="170"/>
      <c r="AH42" s="170"/>
      <c r="AI42" s="170"/>
      <c r="AJ42" s="170"/>
      <c r="AK42" s="170"/>
      <c r="AL42" s="170"/>
      <c r="AM42" s="170"/>
      <c r="AN42" s="170"/>
      <c r="AO42" s="170"/>
      <c r="AP42" s="170"/>
      <c r="AR42" s="170"/>
      <c r="AS42" s="170"/>
      <c r="AT42" s="170"/>
      <c r="AU42" s="170"/>
      <c r="AV42" s="170"/>
      <c r="AW42" s="170"/>
      <c r="AX42" s="170"/>
      <c r="AY42" s="170"/>
      <c r="AZ42" s="170"/>
      <c r="BA42" s="170"/>
      <c r="BB42" s="170"/>
      <c r="BC42" s="170"/>
      <c r="BD42" s="170"/>
      <c r="BE42" s="170"/>
      <c r="BF42" s="170"/>
      <c r="BG42" s="170"/>
      <c r="BH42" s="170"/>
      <c r="BI42" s="170"/>
      <c r="BJ42" s="170"/>
      <c r="BK42" s="170"/>
      <c r="BL42" s="170"/>
      <c r="BM42" s="170"/>
      <c r="BN42" s="170"/>
      <c r="BO42" s="170"/>
      <c r="BP42" s="189">
        <v>0</v>
      </c>
      <c r="BS42" s="189"/>
    </row>
    <row r="43" spans="1:71" x14ac:dyDescent="0.2">
      <c r="A43" s="170"/>
      <c r="B43" s="170"/>
      <c r="C43" s="213"/>
      <c r="F43" s="220"/>
      <c r="G43" s="221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  <c r="AI43" s="170"/>
      <c r="AJ43" s="170"/>
      <c r="AK43" s="170"/>
      <c r="AL43" s="170"/>
      <c r="AM43" s="170"/>
      <c r="AN43" s="170"/>
      <c r="AO43" s="170"/>
      <c r="AP43" s="170"/>
      <c r="AR43" s="170"/>
      <c r="AS43" s="170"/>
      <c r="AT43" s="170"/>
      <c r="AU43" s="170"/>
      <c r="AV43" s="170"/>
      <c r="AW43" s="170"/>
      <c r="AX43" s="170"/>
      <c r="AY43" s="170"/>
      <c r="AZ43" s="170"/>
      <c r="BA43" s="170"/>
      <c r="BB43" s="170"/>
      <c r="BC43" s="170"/>
      <c r="BD43" s="170"/>
      <c r="BE43" s="170"/>
      <c r="BF43" s="170"/>
      <c r="BG43" s="170"/>
      <c r="BH43" s="170"/>
      <c r="BI43" s="170"/>
      <c r="BJ43" s="170"/>
      <c r="BK43" s="170"/>
      <c r="BL43" s="170"/>
      <c r="BM43" s="170"/>
      <c r="BN43" s="170"/>
      <c r="BO43" s="170"/>
      <c r="BP43" s="189">
        <v>0</v>
      </c>
      <c r="BS43" s="189"/>
    </row>
    <row r="44" spans="1:71" x14ac:dyDescent="0.2">
      <c r="A44" s="170"/>
      <c r="B44" s="170"/>
      <c r="C44" s="213"/>
      <c r="F44" s="220"/>
      <c r="G44" s="221"/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Z44" s="170"/>
      <c r="AA44" s="170"/>
      <c r="AB44" s="170"/>
      <c r="AC44" s="170"/>
      <c r="AD44" s="170"/>
      <c r="AE44" s="170"/>
      <c r="AF44" s="170"/>
      <c r="AG44" s="170"/>
      <c r="AH44" s="170"/>
      <c r="AI44" s="170"/>
      <c r="AJ44" s="170"/>
      <c r="AK44" s="170"/>
      <c r="AL44" s="170"/>
      <c r="AM44" s="170"/>
      <c r="AN44" s="170"/>
      <c r="AO44" s="170"/>
      <c r="AP44" s="170"/>
      <c r="AR44" s="170"/>
      <c r="AS44" s="170"/>
      <c r="AT44" s="170"/>
      <c r="AU44" s="170"/>
      <c r="AV44" s="170"/>
      <c r="AW44" s="170"/>
      <c r="AX44" s="170"/>
      <c r="AY44" s="170"/>
      <c r="AZ44" s="170"/>
      <c r="BA44" s="170"/>
      <c r="BB44" s="170"/>
      <c r="BC44" s="170"/>
      <c r="BD44" s="170"/>
      <c r="BE44" s="170"/>
      <c r="BF44" s="170"/>
      <c r="BG44" s="170"/>
      <c r="BH44" s="170"/>
      <c r="BI44" s="170"/>
      <c r="BJ44" s="170"/>
      <c r="BK44" s="170"/>
      <c r="BL44" s="170"/>
      <c r="BM44" s="170"/>
      <c r="BN44" s="170"/>
      <c r="BO44" s="170"/>
      <c r="BP44" s="189">
        <v>0</v>
      </c>
      <c r="BS44" s="189"/>
    </row>
    <row r="45" spans="1:71" x14ac:dyDescent="0.2">
      <c r="A45" s="170"/>
      <c r="B45" s="170"/>
      <c r="C45" s="213"/>
      <c r="F45" s="220"/>
      <c r="G45" s="221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  <c r="AB45" s="170"/>
      <c r="AC45" s="170"/>
      <c r="AD45" s="170"/>
      <c r="AE45" s="170"/>
      <c r="AF45" s="170"/>
      <c r="AG45" s="170"/>
      <c r="AH45" s="170"/>
      <c r="AI45" s="170"/>
      <c r="AJ45" s="170"/>
      <c r="AK45" s="170"/>
      <c r="AL45" s="170"/>
      <c r="AM45" s="170"/>
      <c r="AN45" s="170"/>
      <c r="AO45" s="170"/>
      <c r="AP45" s="170"/>
      <c r="AR45" s="170"/>
      <c r="AS45" s="170"/>
      <c r="AT45" s="170"/>
      <c r="AU45" s="170"/>
      <c r="AV45" s="170"/>
      <c r="AW45" s="170"/>
      <c r="AX45" s="170"/>
      <c r="AY45" s="170"/>
      <c r="AZ45" s="170"/>
      <c r="BA45" s="170"/>
      <c r="BB45" s="170"/>
      <c r="BC45" s="170"/>
      <c r="BD45" s="170"/>
      <c r="BE45" s="170"/>
      <c r="BF45" s="170"/>
      <c r="BG45" s="170"/>
      <c r="BH45" s="170"/>
      <c r="BI45" s="170"/>
      <c r="BJ45" s="170"/>
      <c r="BK45" s="170"/>
      <c r="BL45" s="170"/>
      <c r="BM45" s="170"/>
      <c r="BN45" s="170"/>
      <c r="BO45" s="170"/>
      <c r="BP45" s="189">
        <v>0</v>
      </c>
      <c r="BS45" s="189"/>
    </row>
    <row r="46" spans="1:71" x14ac:dyDescent="0.2">
      <c r="A46" s="170"/>
      <c r="B46" s="170"/>
      <c r="C46" s="213"/>
      <c r="F46" s="220"/>
      <c r="G46" s="221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170"/>
      <c r="AE46" s="170"/>
      <c r="AF46" s="170"/>
      <c r="AG46" s="170"/>
      <c r="AH46" s="170"/>
      <c r="AI46" s="170"/>
      <c r="AJ46" s="170"/>
      <c r="AK46" s="170"/>
      <c r="AL46" s="170"/>
      <c r="AM46" s="170"/>
      <c r="AN46" s="170"/>
      <c r="AO46" s="170"/>
      <c r="AP46" s="170"/>
      <c r="AR46" s="170"/>
      <c r="AS46" s="170"/>
      <c r="AT46" s="170"/>
      <c r="AU46" s="170"/>
      <c r="AV46" s="170"/>
      <c r="AW46" s="170"/>
      <c r="AX46" s="170"/>
      <c r="AY46" s="170"/>
      <c r="AZ46" s="170"/>
      <c r="BA46" s="170"/>
      <c r="BB46" s="170"/>
      <c r="BC46" s="170"/>
      <c r="BD46" s="170"/>
      <c r="BE46" s="170"/>
      <c r="BF46" s="170"/>
      <c r="BG46" s="170"/>
      <c r="BH46" s="170"/>
      <c r="BI46" s="170"/>
      <c r="BJ46" s="170"/>
      <c r="BK46" s="170"/>
      <c r="BL46" s="170"/>
      <c r="BM46" s="170"/>
      <c r="BN46" s="170"/>
      <c r="BO46" s="170"/>
      <c r="BP46" s="189">
        <v>0</v>
      </c>
      <c r="BS46" s="189"/>
    </row>
    <row r="47" spans="1:71" x14ac:dyDescent="0.2">
      <c r="A47" s="170"/>
      <c r="B47" s="170"/>
      <c r="C47" s="213"/>
      <c r="F47" s="220"/>
      <c r="G47" s="221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Z47" s="170"/>
      <c r="AA47" s="170"/>
      <c r="AB47" s="170"/>
      <c r="AC47" s="170"/>
      <c r="AD47" s="170"/>
      <c r="AE47" s="170"/>
      <c r="AF47" s="170"/>
      <c r="AG47" s="170"/>
      <c r="AH47" s="170"/>
      <c r="AI47" s="170"/>
      <c r="AJ47" s="170"/>
      <c r="AK47" s="170"/>
      <c r="AL47" s="170"/>
      <c r="AM47" s="170"/>
      <c r="AN47" s="170"/>
      <c r="AO47" s="170"/>
      <c r="AP47" s="170"/>
      <c r="AR47" s="170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89">
        <v>0</v>
      </c>
      <c r="BS47" s="189"/>
    </row>
    <row r="48" spans="1:71" x14ac:dyDescent="0.2">
      <c r="A48" s="170"/>
      <c r="B48" s="170"/>
      <c r="C48" s="213"/>
      <c r="F48" s="220"/>
      <c r="G48" s="221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  <c r="Z48" s="170"/>
      <c r="AA48" s="170"/>
      <c r="AB48" s="170"/>
      <c r="AC48" s="170"/>
      <c r="AD48" s="170"/>
      <c r="AE48" s="170"/>
      <c r="AF48" s="170"/>
      <c r="AG48" s="170"/>
      <c r="AH48" s="170"/>
      <c r="AI48" s="170"/>
      <c r="AJ48" s="170"/>
      <c r="AK48" s="170"/>
      <c r="AL48" s="170"/>
      <c r="AM48" s="170"/>
      <c r="AN48" s="170"/>
      <c r="AO48" s="170"/>
      <c r="AP48" s="170"/>
      <c r="AR48" s="170"/>
      <c r="AS48" s="170"/>
      <c r="AT48" s="170"/>
      <c r="AU48" s="170"/>
      <c r="AV48" s="170"/>
      <c r="AW48" s="170"/>
      <c r="AX48" s="170"/>
      <c r="AY48" s="170"/>
      <c r="AZ48" s="170"/>
      <c r="BA48" s="170"/>
      <c r="BB48" s="170"/>
      <c r="BC48" s="170"/>
      <c r="BD48" s="170"/>
      <c r="BE48" s="170"/>
      <c r="BF48" s="170"/>
      <c r="BG48" s="170"/>
      <c r="BH48" s="170"/>
      <c r="BI48" s="170"/>
      <c r="BJ48" s="170"/>
      <c r="BK48" s="170"/>
      <c r="BL48" s="170"/>
      <c r="BM48" s="170"/>
      <c r="BN48" s="170"/>
      <c r="BO48" s="170"/>
      <c r="BP48" s="189">
        <v>0</v>
      </c>
      <c r="BS48" s="189"/>
    </row>
    <row r="49" spans="1:71" x14ac:dyDescent="0.2">
      <c r="A49" s="170"/>
      <c r="B49" s="170"/>
      <c r="C49" s="213"/>
      <c r="F49" s="220"/>
      <c r="G49" s="221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Z49" s="170"/>
      <c r="AA49" s="170"/>
      <c r="AB49" s="170"/>
      <c r="AC49" s="170"/>
      <c r="AD49" s="170"/>
      <c r="AE49" s="170"/>
      <c r="AF49" s="170"/>
      <c r="AG49" s="170"/>
      <c r="AH49" s="170"/>
      <c r="AI49" s="170"/>
      <c r="AJ49" s="170"/>
      <c r="AK49" s="170"/>
      <c r="AL49" s="170"/>
      <c r="AM49" s="170"/>
      <c r="AN49" s="170"/>
      <c r="AO49" s="170"/>
      <c r="AP49" s="170"/>
      <c r="AR49" s="170"/>
      <c r="AS49" s="170"/>
      <c r="AT49" s="170"/>
      <c r="AU49" s="170"/>
      <c r="AV49" s="170"/>
      <c r="AW49" s="170"/>
      <c r="AX49" s="170"/>
      <c r="AY49" s="170"/>
      <c r="AZ49" s="170"/>
      <c r="BA49" s="170"/>
      <c r="BB49" s="170"/>
      <c r="BC49" s="170"/>
      <c r="BD49" s="170"/>
      <c r="BE49" s="170"/>
      <c r="BF49" s="170"/>
      <c r="BG49" s="170"/>
      <c r="BH49" s="170"/>
      <c r="BI49" s="170"/>
      <c r="BJ49" s="170"/>
      <c r="BK49" s="170"/>
      <c r="BL49" s="170"/>
      <c r="BM49" s="170"/>
      <c r="BN49" s="170"/>
      <c r="BO49" s="170"/>
      <c r="BP49" s="189">
        <v>0</v>
      </c>
      <c r="BS49" s="189"/>
    </row>
    <row r="50" spans="1:71" x14ac:dyDescent="0.2">
      <c r="A50" s="170"/>
      <c r="B50" s="170"/>
      <c r="C50" s="213"/>
      <c r="F50" s="220"/>
      <c r="G50" s="221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Z50" s="170"/>
      <c r="AA50" s="170"/>
      <c r="AB50" s="170"/>
      <c r="AC50" s="170"/>
      <c r="AD50" s="170"/>
      <c r="AE50" s="170"/>
      <c r="AF50" s="170"/>
      <c r="AG50" s="170"/>
      <c r="AH50" s="170"/>
      <c r="AI50" s="170"/>
      <c r="AJ50" s="170"/>
      <c r="AK50" s="170"/>
      <c r="AL50" s="170"/>
      <c r="AM50" s="170"/>
      <c r="AN50" s="170"/>
      <c r="AO50" s="170"/>
      <c r="AP50" s="170"/>
      <c r="AR50" s="170"/>
      <c r="AS50" s="170"/>
      <c r="AT50" s="170"/>
      <c r="AU50" s="170"/>
      <c r="AV50" s="170"/>
      <c r="AW50" s="170"/>
      <c r="AX50" s="170"/>
      <c r="AY50" s="170"/>
      <c r="AZ50" s="170"/>
      <c r="BA50" s="170"/>
      <c r="BB50" s="170"/>
      <c r="BC50" s="170"/>
      <c r="BD50" s="170"/>
      <c r="BE50" s="170"/>
      <c r="BF50" s="170"/>
      <c r="BG50" s="170"/>
      <c r="BH50" s="170"/>
      <c r="BI50" s="170"/>
      <c r="BJ50" s="170"/>
      <c r="BK50" s="170"/>
      <c r="BL50" s="170"/>
      <c r="BM50" s="170"/>
      <c r="BN50" s="170"/>
      <c r="BO50" s="170"/>
      <c r="BP50" s="189">
        <v>0</v>
      </c>
      <c r="BS50" s="189"/>
    </row>
    <row r="51" spans="1:71" x14ac:dyDescent="0.2">
      <c r="A51" s="170"/>
      <c r="B51" s="170"/>
      <c r="C51" s="213"/>
      <c r="F51" s="220"/>
      <c r="G51" s="221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  <c r="AP51" s="170"/>
      <c r="AR51" s="170"/>
      <c r="AS51" s="170"/>
      <c r="AT51" s="170"/>
      <c r="AU51" s="170"/>
      <c r="AV51" s="170"/>
      <c r="AW51" s="170"/>
      <c r="AX51" s="170"/>
      <c r="AY51" s="170"/>
      <c r="AZ51" s="170"/>
      <c r="BA51" s="170"/>
      <c r="BB51" s="170"/>
      <c r="BC51" s="170"/>
      <c r="BD51" s="170"/>
      <c r="BE51" s="170"/>
      <c r="BF51" s="170"/>
      <c r="BG51" s="170"/>
      <c r="BH51" s="170"/>
      <c r="BI51" s="170"/>
      <c r="BJ51" s="170"/>
      <c r="BK51" s="170"/>
      <c r="BL51" s="170"/>
      <c r="BM51" s="170"/>
      <c r="BN51" s="170"/>
      <c r="BO51" s="170"/>
      <c r="BP51" s="189">
        <v>0</v>
      </c>
      <c r="BS51" s="189"/>
    </row>
    <row r="52" spans="1:71" x14ac:dyDescent="0.2">
      <c r="A52" s="170"/>
      <c r="B52" s="170"/>
      <c r="C52" s="213"/>
      <c r="F52" s="220"/>
      <c r="G52" s="221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Y52" s="170"/>
      <c r="Z52" s="170"/>
      <c r="AA52" s="170"/>
      <c r="AB52" s="170"/>
      <c r="AC52" s="170"/>
      <c r="AD52" s="170"/>
      <c r="AE52" s="170"/>
      <c r="AF52" s="170"/>
      <c r="AG52" s="170"/>
      <c r="AH52" s="170"/>
      <c r="AI52" s="170"/>
      <c r="AJ52" s="170"/>
      <c r="AK52" s="170"/>
      <c r="AL52" s="170"/>
      <c r="AM52" s="170"/>
      <c r="AN52" s="170"/>
      <c r="AO52" s="170"/>
      <c r="AP52" s="170"/>
      <c r="AR52" s="170"/>
      <c r="AS52" s="170"/>
      <c r="AT52" s="170"/>
      <c r="AU52" s="170"/>
      <c r="AV52" s="170"/>
      <c r="AW52" s="170"/>
      <c r="AX52" s="170"/>
      <c r="AY52" s="170"/>
      <c r="AZ52" s="170"/>
      <c r="BA52" s="170"/>
      <c r="BB52" s="170"/>
      <c r="BC52" s="170"/>
      <c r="BD52" s="170"/>
      <c r="BE52" s="170"/>
      <c r="BF52" s="170"/>
      <c r="BG52" s="170"/>
      <c r="BH52" s="170"/>
      <c r="BI52" s="170"/>
      <c r="BJ52" s="170"/>
      <c r="BK52" s="170"/>
      <c r="BL52" s="170"/>
      <c r="BM52" s="170"/>
      <c r="BN52" s="170"/>
      <c r="BO52" s="170"/>
      <c r="BP52" s="189">
        <v>0</v>
      </c>
      <c r="BS52" s="189"/>
    </row>
    <row r="53" spans="1:71" x14ac:dyDescent="0.2">
      <c r="A53" s="170"/>
      <c r="B53" s="170"/>
      <c r="C53" s="213"/>
      <c r="F53" s="220"/>
      <c r="G53" s="221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  <c r="AI53" s="170"/>
      <c r="AJ53" s="170"/>
      <c r="AK53" s="170"/>
      <c r="AL53" s="170"/>
      <c r="AM53" s="170"/>
      <c r="AN53" s="170"/>
      <c r="AO53" s="170"/>
      <c r="AP53" s="170"/>
      <c r="AR53" s="170"/>
      <c r="AS53" s="170"/>
      <c r="AT53" s="170"/>
      <c r="AU53" s="170"/>
      <c r="AV53" s="170"/>
      <c r="AW53" s="170"/>
      <c r="AX53" s="170"/>
      <c r="AY53" s="170"/>
      <c r="AZ53" s="170"/>
      <c r="BA53" s="170"/>
      <c r="BB53" s="170"/>
      <c r="BC53" s="170"/>
      <c r="BD53" s="170"/>
      <c r="BE53" s="170"/>
      <c r="BF53" s="170"/>
      <c r="BG53" s="170"/>
      <c r="BH53" s="170"/>
      <c r="BI53" s="170"/>
      <c r="BJ53" s="170"/>
      <c r="BK53" s="170"/>
      <c r="BL53" s="170"/>
      <c r="BM53" s="170"/>
      <c r="BN53" s="170"/>
      <c r="BO53" s="170"/>
      <c r="BP53" s="189">
        <v>0</v>
      </c>
      <c r="BS53" s="189"/>
    </row>
    <row r="54" spans="1:71" x14ac:dyDescent="0.2">
      <c r="A54" s="170"/>
      <c r="B54" s="170"/>
      <c r="C54" s="170"/>
      <c r="F54" s="220"/>
      <c r="G54" s="221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70"/>
      <c r="AL54" s="170"/>
      <c r="AM54" s="170"/>
      <c r="AN54" s="170"/>
      <c r="AO54" s="170"/>
      <c r="AP54" s="170"/>
      <c r="AR54" s="170"/>
      <c r="AS54" s="170"/>
      <c r="AT54" s="170"/>
      <c r="AU54" s="170"/>
      <c r="AV54" s="170"/>
      <c r="AW54" s="170"/>
      <c r="AX54" s="170"/>
      <c r="AY54" s="170"/>
      <c r="AZ54" s="170"/>
      <c r="BA54" s="170"/>
      <c r="BB54" s="170"/>
      <c r="BC54" s="170"/>
      <c r="BD54" s="170"/>
      <c r="BE54" s="170"/>
      <c r="BF54" s="170"/>
      <c r="BG54" s="170"/>
      <c r="BH54" s="170"/>
      <c r="BI54" s="170"/>
      <c r="BJ54" s="170"/>
      <c r="BK54" s="170"/>
      <c r="BL54" s="170"/>
      <c r="BM54" s="170"/>
      <c r="BN54" s="170"/>
      <c r="BO54" s="170"/>
      <c r="BP54" s="189">
        <v>0</v>
      </c>
      <c r="BS54" s="189"/>
    </row>
    <row r="55" spans="1:71" x14ac:dyDescent="0.2">
      <c r="A55" s="170"/>
      <c r="B55" s="170"/>
      <c r="C55" s="170"/>
      <c r="F55" s="220"/>
      <c r="G55" s="221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170"/>
      <c r="Z55" s="170"/>
      <c r="AA55" s="170"/>
      <c r="AB55" s="170"/>
      <c r="AC55" s="170"/>
      <c r="AD55" s="170"/>
      <c r="AE55" s="170"/>
      <c r="AF55" s="170"/>
      <c r="AG55" s="170"/>
      <c r="AH55" s="170"/>
      <c r="AI55" s="170"/>
      <c r="AJ55" s="170"/>
      <c r="AK55" s="170"/>
      <c r="AL55" s="170"/>
      <c r="AM55" s="170"/>
      <c r="AN55" s="170"/>
      <c r="AO55" s="170"/>
      <c r="AP55" s="170"/>
      <c r="AR55" s="170"/>
      <c r="AS55" s="170"/>
      <c r="AT55" s="170"/>
      <c r="AU55" s="170"/>
      <c r="AV55" s="170"/>
      <c r="AW55" s="170"/>
      <c r="AX55" s="170"/>
      <c r="AY55" s="170"/>
      <c r="AZ55" s="170"/>
      <c r="BA55" s="170"/>
      <c r="BB55" s="170"/>
      <c r="BC55" s="170"/>
      <c r="BD55" s="170"/>
      <c r="BE55" s="170"/>
      <c r="BF55" s="170"/>
      <c r="BG55" s="170"/>
      <c r="BH55" s="170"/>
      <c r="BI55" s="170"/>
      <c r="BJ55" s="170"/>
      <c r="BK55" s="170"/>
      <c r="BL55" s="170"/>
      <c r="BM55" s="170"/>
      <c r="BN55" s="170"/>
      <c r="BO55" s="170"/>
      <c r="BP55" s="189">
        <v>0</v>
      </c>
      <c r="BS55" s="189"/>
    </row>
    <row r="56" spans="1:71" x14ac:dyDescent="0.2">
      <c r="A56" s="170"/>
      <c r="B56" s="170"/>
      <c r="C56" s="170"/>
      <c r="F56" s="220"/>
      <c r="G56" s="221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  <c r="U56" s="170"/>
      <c r="V56" s="170"/>
      <c r="W56" s="170"/>
      <c r="X56" s="170"/>
      <c r="Y56" s="170"/>
      <c r="Z56" s="170"/>
      <c r="AA56" s="170"/>
      <c r="AB56" s="170"/>
      <c r="AC56" s="170"/>
      <c r="AD56" s="170"/>
      <c r="AE56" s="170"/>
      <c r="AF56" s="170"/>
      <c r="AG56" s="170"/>
      <c r="AH56" s="170"/>
      <c r="AI56" s="170"/>
      <c r="AJ56" s="170"/>
      <c r="AK56" s="170"/>
      <c r="AL56" s="170"/>
      <c r="AM56" s="170"/>
      <c r="AN56" s="170"/>
      <c r="AO56" s="170"/>
      <c r="AP56" s="170"/>
      <c r="AR56" s="170"/>
      <c r="AS56" s="170"/>
      <c r="AT56" s="170"/>
      <c r="AU56" s="170"/>
      <c r="AV56" s="170"/>
      <c r="AW56" s="170"/>
      <c r="AX56" s="170"/>
      <c r="AY56" s="170"/>
      <c r="AZ56" s="170"/>
      <c r="BA56" s="170"/>
      <c r="BB56" s="170"/>
      <c r="BC56" s="170"/>
      <c r="BD56" s="170"/>
      <c r="BE56" s="170"/>
      <c r="BF56" s="170"/>
      <c r="BG56" s="170"/>
      <c r="BH56" s="170"/>
      <c r="BI56" s="170"/>
      <c r="BJ56" s="170"/>
      <c r="BK56" s="170"/>
      <c r="BL56" s="170"/>
      <c r="BM56" s="170"/>
      <c r="BN56" s="170"/>
      <c r="BO56" s="170"/>
      <c r="BP56" s="189">
        <v>0</v>
      </c>
      <c r="BS56" s="189"/>
    </row>
    <row r="57" spans="1:71" x14ac:dyDescent="0.2">
      <c r="A57" s="170"/>
      <c r="B57" s="170"/>
      <c r="C57" s="170"/>
      <c r="F57" s="220"/>
      <c r="G57" s="221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  <c r="U57" s="170"/>
      <c r="V57" s="170"/>
      <c r="W57" s="170"/>
      <c r="X57" s="170"/>
      <c r="Y57" s="170"/>
      <c r="Z57" s="170"/>
      <c r="AA57" s="170"/>
      <c r="AB57" s="170"/>
      <c r="AC57" s="170"/>
      <c r="AD57" s="170"/>
      <c r="AE57" s="170"/>
      <c r="AF57" s="170"/>
      <c r="AG57" s="170"/>
      <c r="AH57" s="170"/>
      <c r="AI57" s="170"/>
      <c r="AJ57" s="170"/>
      <c r="AK57" s="170"/>
      <c r="AL57" s="170"/>
      <c r="AM57" s="170"/>
      <c r="AN57" s="170"/>
      <c r="AO57" s="170"/>
      <c r="AP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0"/>
      <c r="BC57" s="170"/>
      <c r="BD57" s="170"/>
      <c r="BE57" s="170"/>
      <c r="BF57" s="170"/>
      <c r="BG57" s="170"/>
      <c r="BH57" s="170"/>
      <c r="BI57" s="170"/>
      <c r="BJ57" s="170"/>
      <c r="BK57" s="170"/>
      <c r="BL57" s="170"/>
      <c r="BM57" s="170"/>
      <c r="BN57" s="170"/>
      <c r="BO57" s="170"/>
      <c r="BP57" s="189">
        <v>0</v>
      </c>
      <c r="BS57" s="189"/>
    </row>
    <row r="58" spans="1:71" x14ac:dyDescent="0.2">
      <c r="A58" s="170"/>
      <c r="B58" s="170"/>
      <c r="C58" s="170"/>
      <c r="F58" s="220"/>
      <c r="G58" s="221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  <c r="U58" s="170"/>
      <c r="V58" s="170"/>
      <c r="W58" s="170"/>
      <c r="X58" s="170"/>
      <c r="Y58" s="170"/>
      <c r="Z58" s="170"/>
      <c r="AA58" s="170"/>
      <c r="AB58" s="170"/>
      <c r="AC58" s="170"/>
      <c r="AD58" s="170"/>
      <c r="AE58" s="170"/>
      <c r="AF58" s="170"/>
      <c r="AG58" s="170"/>
      <c r="AH58" s="170"/>
      <c r="AI58" s="170"/>
      <c r="AJ58" s="170"/>
      <c r="AK58" s="170"/>
      <c r="AL58" s="170"/>
      <c r="AM58" s="170"/>
      <c r="AN58" s="170"/>
      <c r="AO58" s="170"/>
      <c r="AP58" s="170"/>
      <c r="AR58" s="170"/>
      <c r="AS58" s="170"/>
      <c r="AT58" s="170"/>
      <c r="AU58" s="170"/>
      <c r="AV58" s="170"/>
      <c r="AW58" s="170"/>
      <c r="AX58" s="170"/>
      <c r="AY58" s="170"/>
      <c r="AZ58" s="170"/>
      <c r="BA58" s="170"/>
      <c r="BB58" s="170"/>
      <c r="BC58" s="170"/>
      <c r="BD58" s="170"/>
      <c r="BE58" s="170"/>
      <c r="BF58" s="170"/>
      <c r="BG58" s="170"/>
      <c r="BH58" s="170"/>
      <c r="BI58" s="170"/>
      <c r="BJ58" s="170"/>
      <c r="BK58" s="170"/>
      <c r="BL58" s="170"/>
      <c r="BM58" s="170"/>
      <c r="BN58" s="170"/>
      <c r="BO58" s="170"/>
      <c r="BP58" s="189">
        <v>0</v>
      </c>
      <c r="BS58" s="189"/>
    </row>
    <row r="59" spans="1:71" x14ac:dyDescent="0.2">
      <c r="A59" s="170"/>
      <c r="B59" s="170"/>
      <c r="C59" s="170"/>
      <c r="F59" s="220"/>
      <c r="G59" s="221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  <c r="AM59" s="170"/>
      <c r="AN59" s="170"/>
      <c r="AO59" s="170"/>
      <c r="AP59" s="170"/>
      <c r="AR59" s="170"/>
      <c r="AS59" s="170"/>
      <c r="AT59" s="170"/>
      <c r="AU59" s="170"/>
      <c r="AV59" s="170"/>
      <c r="AW59" s="170"/>
      <c r="AX59" s="170"/>
      <c r="AY59" s="170"/>
      <c r="AZ59" s="170"/>
      <c r="BA59" s="170"/>
      <c r="BB59" s="170"/>
      <c r="BC59" s="170"/>
      <c r="BD59" s="170"/>
      <c r="BE59" s="170"/>
      <c r="BF59" s="170"/>
      <c r="BG59" s="170"/>
      <c r="BH59" s="170"/>
      <c r="BI59" s="170"/>
      <c r="BJ59" s="170"/>
      <c r="BK59" s="170"/>
      <c r="BL59" s="170"/>
      <c r="BM59" s="170"/>
      <c r="BN59" s="170"/>
      <c r="BO59" s="170"/>
      <c r="BP59" s="189">
        <v>0</v>
      </c>
      <c r="BS59" s="189"/>
    </row>
    <row r="60" spans="1:71" x14ac:dyDescent="0.2">
      <c r="A60" s="170"/>
      <c r="B60" s="170"/>
      <c r="C60" s="170"/>
      <c r="F60" s="220"/>
      <c r="G60" s="221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  <c r="AN60" s="170"/>
      <c r="AO60" s="170"/>
      <c r="AP60" s="170"/>
      <c r="AR60" s="170"/>
      <c r="AS60" s="170"/>
      <c r="AT60" s="170"/>
      <c r="AU60" s="170"/>
      <c r="AV60" s="170"/>
      <c r="AW60" s="170"/>
      <c r="AX60" s="170"/>
      <c r="AY60" s="170"/>
      <c r="AZ60" s="170"/>
      <c r="BA60" s="170"/>
      <c r="BB60" s="170"/>
      <c r="BC60" s="170"/>
      <c r="BD60" s="170"/>
      <c r="BE60" s="170"/>
      <c r="BF60" s="170"/>
      <c r="BG60" s="170"/>
      <c r="BH60" s="170"/>
      <c r="BI60" s="170"/>
      <c r="BJ60" s="170"/>
      <c r="BK60" s="170"/>
      <c r="BL60" s="170"/>
      <c r="BM60" s="170"/>
      <c r="BN60" s="170"/>
      <c r="BO60" s="170"/>
      <c r="BP60" s="189">
        <v>0</v>
      </c>
      <c r="BS60" s="189"/>
    </row>
    <row r="61" spans="1:71" x14ac:dyDescent="0.2">
      <c r="A61" s="170"/>
      <c r="B61" s="170"/>
      <c r="C61" s="170"/>
      <c r="F61" s="220"/>
      <c r="G61" s="221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70"/>
      <c r="W61" s="170"/>
      <c r="X61" s="170"/>
      <c r="Y61" s="170"/>
      <c r="Z61" s="170"/>
      <c r="AA61" s="170"/>
      <c r="AB61" s="170"/>
      <c r="AC61" s="170"/>
      <c r="AD61" s="170"/>
      <c r="AE61" s="170"/>
      <c r="AF61" s="170"/>
      <c r="AG61" s="170"/>
      <c r="AH61" s="170"/>
      <c r="AI61" s="170"/>
      <c r="AJ61" s="170"/>
      <c r="AK61" s="170"/>
      <c r="AL61" s="170"/>
      <c r="AM61" s="170"/>
      <c r="AN61" s="170"/>
      <c r="AO61" s="170"/>
      <c r="AP61" s="170"/>
      <c r="AR61" s="170"/>
      <c r="AS61" s="170"/>
      <c r="AT61" s="170"/>
      <c r="AU61" s="170"/>
      <c r="AV61" s="170"/>
      <c r="AW61" s="170"/>
      <c r="AX61" s="170"/>
      <c r="AY61" s="170"/>
      <c r="AZ61" s="170"/>
      <c r="BA61" s="170"/>
      <c r="BB61" s="170"/>
      <c r="BC61" s="170"/>
      <c r="BD61" s="170"/>
      <c r="BE61" s="170"/>
      <c r="BF61" s="170"/>
      <c r="BG61" s="170"/>
      <c r="BH61" s="170"/>
      <c r="BI61" s="170"/>
      <c r="BJ61" s="170"/>
      <c r="BK61" s="170"/>
      <c r="BL61" s="170"/>
      <c r="BM61" s="170"/>
      <c r="BN61" s="170"/>
      <c r="BO61" s="170"/>
      <c r="BP61" s="189">
        <v>0</v>
      </c>
      <c r="BS61" s="189"/>
    </row>
    <row r="62" spans="1:71" x14ac:dyDescent="0.2">
      <c r="A62" s="170"/>
      <c r="B62" s="170"/>
      <c r="C62" s="170"/>
      <c r="F62" s="220"/>
      <c r="G62" s="221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170"/>
      <c r="AJ62" s="170"/>
      <c r="AK62" s="170"/>
      <c r="AL62" s="170"/>
      <c r="AM62" s="170"/>
      <c r="AN62" s="170"/>
      <c r="AO62" s="170"/>
      <c r="AP62" s="170"/>
      <c r="AR62" s="170"/>
      <c r="AS62" s="170"/>
      <c r="AT62" s="170"/>
      <c r="AU62" s="170"/>
      <c r="AV62" s="170"/>
      <c r="AW62" s="170"/>
      <c r="AX62" s="170"/>
      <c r="AY62" s="170"/>
      <c r="AZ62" s="170"/>
      <c r="BA62" s="170"/>
      <c r="BB62" s="170"/>
      <c r="BC62" s="170"/>
      <c r="BD62" s="170"/>
      <c r="BE62" s="170"/>
      <c r="BF62" s="170"/>
      <c r="BG62" s="170"/>
      <c r="BH62" s="170"/>
      <c r="BI62" s="170"/>
      <c r="BJ62" s="170"/>
      <c r="BK62" s="170"/>
      <c r="BL62" s="170"/>
      <c r="BM62" s="170"/>
      <c r="BN62" s="170"/>
      <c r="BO62" s="170"/>
      <c r="BP62" s="189">
        <v>0</v>
      </c>
      <c r="BS62" s="189"/>
    </row>
    <row r="63" spans="1:71" x14ac:dyDescent="0.2">
      <c r="A63" s="170"/>
      <c r="B63" s="170"/>
      <c r="C63" s="170"/>
      <c r="F63" s="220"/>
      <c r="G63" s="221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  <c r="AN63" s="170"/>
      <c r="AO63" s="170"/>
      <c r="AP63" s="170"/>
      <c r="AR63" s="170"/>
      <c r="AS63" s="170"/>
      <c r="AT63" s="170"/>
      <c r="AU63" s="170"/>
      <c r="AV63" s="170"/>
      <c r="AW63" s="170"/>
      <c r="AX63" s="170"/>
      <c r="AY63" s="170"/>
      <c r="AZ63" s="170"/>
      <c r="BA63" s="170"/>
      <c r="BB63" s="170"/>
      <c r="BC63" s="170"/>
      <c r="BD63" s="170"/>
      <c r="BE63" s="170"/>
      <c r="BF63" s="170"/>
      <c r="BG63" s="170"/>
      <c r="BH63" s="170"/>
      <c r="BI63" s="170"/>
      <c r="BJ63" s="170"/>
      <c r="BK63" s="170"/>
      <c r="BL63" s="170"/>
      <c r="BM63" s="170"/>
      <c r="BN63" s="170"/>
      <c r="BO63" s="170"/>
      <c r="BP63" s="189">
        <v>0</v>
      </c>
      <c r="BS63" s="189"/>
    </row>
    <row r="64" spans="1:71" x14ac:dyDescent="0.2">
      <c r="A64" s="19"/>
      <c r="G64" s="222" t="s">
        <v>172</v>
      </c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BS64" s="189"/>
    </row>
    <row r="65" spans="1:80" x14ac:dyDescent="0.2">
      <c r="G65" s="161" t="s">
        <v>92</v>
      </c>
      <c r="H65" s="189" t="s">
        <v>93</v>
      </c>
      <c r="BS65" s="189"/>
    </row>
    <row r="66" spans="1:80" x14ac:dyDescent="0.2">
      <c r="A66" s="189" t="str">
        <f t="shared" ref="A66:A67" si="0">A3</f>
        <v>Trait 1</v>
      </c>
      <c r="B66" s="189" t="str">
        <f>B3</f>
        <v>t1</v>
      </c>
      <c r="G66" s="223">
        <v>1</v>
      </c>
      <c r="H66" s="167">
        <v>-0.5</v>
      </c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4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S66" s="189"/>
    </row>
    <row r="67" spans="1:80" x14ac:dyDescent="0.2">
      <c r="A67" s="189" t="str">
        <f t="shared" si="0"/>
        <v>Trait 2</v>
      </c>
      <c r="B67" s="189" t="str">
        <f>B4</f>
        <v>t2</v>
      </c>
      <c r="G67" s="223">
        <v>-0.5</v>
      </c>
      <c r="H67" s="167">
        <v>1</v>
      </c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4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S67" s="189"/>
    </row>
    <row r="68" spans="1:80" x14ac:dyDescent="0.2">
      <c r="G68" s="223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4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S68" s="189"/>
    </row>
    <row r="69" spans="1:80" x14ac:dyDescent="0.2">
      <c r="G69" s="223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4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S69" s="189"/>
    </row>
    <row r="70" spans="1:80" x14ac:dyDescent="0.2">
      <c r="G70" s="223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47"/>
      <c r="AR70" s="167"/>
      <c r="AS70" s="167"/>
      <c r="AT70" s="167"/>
      <c r="AU70" s="167"/>
      <c r="AV70" s="167"/>
      <c r="AW70" s="167"/>
      <c r="AX70" s="167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S70" s="189"/>
    </row>
    <row r="71" spans="1:80" x14ac:dyDescent="0.2">
      <c r="G71" s="223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47"/>
      <c r="AR71" s="167"/>
      <c r="AS71" s="167"/>
      <c r="AT71" s="167"/>
      <c r="AU71" s="167"/>
      <c r="AV71" s="167"/>
      <c r="AW71" s="167"/>
      <c r="AX71" s="167"/>
      <c r="AY71" s="167"/>
      <c r="AZ71" s="16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S71" s="189"/>
    </row>
    <row r="72" spans="1:80" x14ac:dyDescent="0.2">
      <c r="G72" s="223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4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S72" s="189"/>
    </row>
    <row r="73" spans="1:80" x14ac:dyDescent="0.2">
      <c r="G73" s="223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47"/>
      <c r="AR73" s="167"/>
      <c r="AS73" s="167"/>
      <c r="AT73" s="167"/>
      <c r="AU73" s="167"/>
      <c r="AV73" s="167"/>
      <c r="AW73" s="167"/>
      <c r="AX73" s="167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S73" s="189"/>
    </row>
    <row r="74" spans="1:80" x14ac:dyDescent="0.2">
      <c r="G74" s="223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47"/>
      <c r="AR74" s="167"/>
      <c r="AS74" s="167"/>
      <c r="AT74" s="167"/>
      <c r="AU74" s="167"/>
      <c r="AV74" s="167"/>
      <c r="AW74" s="167"/>
      <c r="AX74" s="167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S74" s="189"/>
    </row>
    <row r="75" spans="1:80" x14ac:dyDescent="0.2">
      <c r="G75" s="223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4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S75" s="189"/>
    </row>
    <row r="76" spans="1:80" x14ac:dyDescent="0.2">
      <c r="G76" s="223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47"/>
      <c r="AR76" s="167"/>
      <c r="AS76" s="167"/>
      <c r="AT76" s="167"/>
      <c r="AU76" s="167"/>
      <c r="AV76" s="167"/>
      <c r="AW76" s="167"/>
      <c r="AX76" s="167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S76" s="189"/>
    </row>
    <row r="77" spans="1:80" x14ac:dyDescent="0.2">
      <c r="G77" s="223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4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S77" s="189"/>
    </row>
    <row r="78" spans="1:80" s="201" customFormat="1" x14ac:dyDescent="0.2">
      <c r="A78" s="189"/>
      <c r="B78" s="189"/>
      <c r="C78" s="189"/>
      <c r="D78" s="189"/>
      <c r="E78" s="189"/>
      <c r="F78" s="189"/>
      <c r="G78" s="223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4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89"/>
      <c r="BQ78" s="189"/>
      <c r="BR78" s="189"/>
      <c r="BS78" s="189"/>
      <c r="BT78" s="189"/>
      <c r="BU78" s="189"/>
      <c r="BV78" s="189"/>
      <c r="BW78" s="189"/>
      <c r="BX78" s="189"/>
      <c r="BY78" s="189"/>
      <c r="BZ78" s="189"/>
      <c r="CA78" s="189"/>
      <c r="CB78" s="189"/>
    </row>
    <row r="79" spans="1:80" x14ac:dyDescent="0.2">
      <c r="G79" s="223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  <c r="AQ79" s="147"/>
      <c r="AR79" s="167"/>
      <c r="AS79" s="167"/>
      <c r="AT79" s="167"/>
      <c r="AU79" s="167"/>
      <c r="AV79" s="167"/>
      <c r="AW79" s="167"/>
      <c r="AX79" s="167"/>
      <c r="AY79" s="167"/>
      <c r="AZ79" s="167"/>
      <c r="BA79" s="167"/>
      <c r="BB79" s="167"/>
      <c r="BC79" s="167"/>
      <c r="BD79" s="167"/>
      <c r="BE79" s="167"/>
      <c r="BF79" s="167"/>
      <c r="BG79" s="167"/>
      <c r="BH79" s="167"/>
      <c r="BI79" s="167"/>
      <c r="BJ79" s="167"/>
      <c r="BK79" s="167"/>
      <c r="BL79" s="167"/>
      <c r="BM79" s="167"/>
      <c r="BN79" s="167"/>
      <c r="BO79" s="167"/>
      <c r="BS79" s="189"/>
    </row>
    <row r="80" spans="1:80" x14ac:dyDescent="0.2">
      <c r="G80" s="223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4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S80" s="189"/>
    </row>
    <row r="81" spans="1:80" x14ac:dyDescent="0.2">
      <c r="G81" s="223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  <c r="AM81" s="167"/>
      <c r="AN81" s="167"/>
      <c r="AO81" s="167"/>
      <c r="AP81" s="167"/>
      <c r="AQ81" s="14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7"/>
      <c r="BE81" s="167"/>
      <c r="BF81" s="167"/>
      <c r="BG81" s="167"/>
      <c r="BH81" s="167"/>
      <c r="BI81" s="167"/>
      <c r="BJ81" s="167"/>
      <c r="BK81" s="167"/>
      <c r="BL81" s="167"/>
      <c r="BM81" s="167"/>
      <c r="BN81" s="167"/>
      <c r="BO81" s="167"/>
      <c r="BS81" s="189"/>
    </row>
    <row r="82" spans="1:80" x14ac:dyDescent="0.2">
      <c r="G82" s="223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4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7"/>
      <c r="BE82" s="167"/>
      <c r="BF82" s="167"/>
      <c r="BG82" s="167"/>
      <c r="BH82" s="167"/>
      <c r="BI82" s="167"/>
      <c r="BJ82" s="167"/>
      <c r="BK82" s="167"/>
      <c r="BL82" s="167"/>
      <c r="BM82" s="167"/>
      <c r="BN82" s="167"/>
      <c r="BO82" s="167"/>
      <c r="BS82" s="189"/>
    </row>
    <row r="83" spans="1:80" x14ac:dyDescent="0.2">
      <c r="G83" s="223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47"/>
      <c r="AR83" s="167"/>
      <c r="AS83" s="167"/>
      <c r="AT83" s="167"/>
      <c r="AU83" s="167"/>
      <c r="AV83" s="167"/>
      <c r="AW83" s="167"/>
      <c r="AX83" s="167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S83" s="189"/>
    </row>
    <row r="84" spans="1:80" s="159" customFormat="1" x14ac:dyDescent="0.2">
      <c r="A84" s="189"/>
      <c r="B84" s="189"/>
      <c r="C84" s="189"/>
      <c r="D84" s="189"/>
      <c r="E84" s="189"/>
      <c r="F84" s="189"/>
      <c r="G84" s="223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7"/>
      <c r="AK84" s="167"/>
      <c r="AL84" s="167"/>
      <c r="AM84" s="167"/>
      <c r="AN84" s="167"/>
      <c r="AO84" s="167"/>
      <c r="AP84" s="167"/>
      <c r="AQ84" s="147"/>
      <c r="AR84" s="167"/>
      <c r="AS84" s="167"/>
      <c r="AT84" s="167"/>
      <c r="AU84" s="167"/>
      <c r="AV84" s="167"/>
      <c r="AW84" s="167"/>
      <c r="AX84" s="167"/>
      <c r="AY84" s="167"/>
      <c r="AZ84" s="167"/>
      <c r="BA84" s="167"/>
      <c r="BB84" s="167"/>
      <c r="BC84" s="167"/>
      <c r="BD84" s="167"/>
      <c r="BE84" s="167"/>
      <c r="BF84" s="167"/>
      <c r="BG84" s="167"/>
      <c r="BH84" s="167"/>
      <c r="BI84" s="167"/>
      <c r="BJ84" s="167"/>
      <c r="BK84" s="167"/>
      <c r="BL84" s="167"/>
      <c r="BM84" s="167"/>
      <c r="BN84" s="167"/>
      <c r="BO84" s="167"/>
      <c r="BP84" s="189"/>
      <c r="BQ84" s="189"/>
      <c r="BR84" s="189"/>
      <c r="BS84" s="189"/>
      <c r="BT84" s="189"/>
      <c r="BU84" s="189"/>
      <c r="BV84" s="189"/>
      <c r="BW84" s="189"/>
      <c r="BX84" s="189"/>
      <c r="BY84" s="189"/>
      <c r="BZ84" s="189"/>
      <c r="CA84" s="189"/>
      <c r="CB84" s="189"/>
    </row>
    <row r="85" spans="1:80" x14ac:dyDescent="0.2">
      <c r="G85" s="223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47"/>
      <c r="AR85" s="167"/>
      <c r="AS85" s="167"/>
      <c r="AT85" s="167"/>
      <c r="AU85" s="167"/>
      <c r="AV85" s="167"/>
      <c r="AW85" s="167"/>
      <c r="AX85" s="167"/>
      <c r="AY85" s="167"/>
      <c r="AZ85" s="167"/>
      <c r="BA85" s="167"/>
      <c r="BB85" s="167"/>
      <c r="BC85" s="167"/>
      <c r="BD85" s="167"/>
      <c r="BE85" s="167"/>
      <c r="BF85" s="167"/>
      <c r="BG85" s="167"/>
      <c r="BH85" s="167"/>
      <c r="BI85" s="167"/>
      <c r="BJ85" s="167"/>
      <c r="BK85" s="167"/>
      <c r="BL85" s="167"/>
      <c r="BM85" s="167"/>
      <c r="BN85" s="167"/>
      <c r="BO85" s="167"/>
      <c r="BS85" s="189"/>
    </row>
    <row r="86" spans="1:80" x14ac:dyDescent="0.2">
      <c r="G86" s="223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167"/>
      <c r="AQ86" s="147"/>
      <c r="AR86" s="167"/>
      <c r="AS86" s="167"/>
      <c r="AT86" s="167"/>
      <c r="AU86" s="167"/>
      <c r="AV86" s="167"/>
      <c r="AW86" s="167"/>
      <c r="AX86" s="167"/>
      <c r="AY86" s="167"/>
      <c r="AZ86" s="167"/>
      <c r="BA86" s="167"/>
      <c r="BB86" s="167"/>
      <c r="BC86" s="167"/>
      <c r="BD86" s="167"/>
      <c r="BE86" s="167"/>
      <c r="BF86" s="167"/>
      <c r="BG86" s="167"/>
      <c r="BH86" s="167"/>
      <c r="BI86" s="167"/>
      <c r="BJ86" s="167"/>
      <c r="BK86" s="167"/>
      <c r="BL86" s="167"/>
      <c r="BM86" s="167"/>
      <c r="BN86" s="167"/>
      <c r="BO86" s="167"/>
      <c r="BS86" s="189"/>
    </row>
    <row r="87" spans="1:80" x14ac:dyDescent="0.2">
      <c r="G87" s="223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7"/>
      <c r="AK87" s="167"/>
      <c r="AL87" s="167"/>
      <c r="AM87" s="167"/>
      <c r="AN87" s="167"/>
      <c r="AO87" s="167"/>
      <c r="AP87" s="167"/>
      <c r="AQ87" s="147"/>
      <c r="AR87" s="167"/>
      <c r="AS87" s="167"/>
      <c r="AT87" s="167"/>
      <c r="AU87" s="167"/>
      <c r="AV87" s="167"/>
      <c r="AW87" s="167"/>
      <c r="AX87" s="167"/>
      <c r="AY87" s="167"/>
      <c r="AZ87" s="167"/>
      <c r="BA87" s="167"/>
      <c r="BB87" s="167"/>
      <c r="BC87" s="167"/>
      <c r="BD87" s="167"/>
      <c r="BE87" s="167"/>
      <c r="BF87" s="167"/>
      <c r="BG87" s="167"/>
      <c r="BH87" s="167"/>
      <c r="BI87" s="167"/>
      <c r="BJ87" s="167"/>
      <c r="BK87" s="167"/>
      <c r="BL87" s="167"/>
      <c r="BM87" s="167"/>
      <c r="BN87" s="167"/>
      <c r="BO87" s="167"/>
      <c r="BS87" s="189"/>
    </row>
    <row r="88" spans="1:80" x14ac:dyDescent="0.2">
      <c r="G88" s="223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7"/>
      <c r="AK88" s="167"/>
      <c r="AL88" s="167"/>
      <c r="AM88" s="167"/>
      <c r="AN88" s="167"/>
      <c r="AO88" s="167"/>
      <c r="AP88" s="167"/>
      <c r="AQ88" s="147"/>
      <c r="AR88" s="167"/>
      <c r="AS88" s="167"/>
      <c r="AT88" s="167"/>
      <c r="AU88" s="167"/>
      <c r="AV88" s="167"/>
      <c r="AW88" s="167"/>
      <c r="AX88" s="167"/>
      <c r="AY88" s="167"/>
      <c r="AZ88" s="167"/>
      <c r="BA88" s="167"/>
      <c r="BB88" s="167"/>
      <c r="BC88" s="167"/>
      <c r="BD88" s="167"/>
      <c r="BE88" s="167"/>
      <c r="BF88" s="167"/>
      <c r="BG88" s="167"/>
      <c r="BH88" s="167"/>
      <c r="BI88" s="167"/>
      <c r="BJ88" s="167"/>
      <c r="BK88" s="167"/>
      <c r="BL88" s="167"/>
      <c r="BM88" s="167"/>
      <c r="BN88" s="167"/>
      <c r="BO88" s="167"/>
      <c r="BS88" s="189"/>
    </row>
    <row r="89" spans="1:80" x14ac:dyDescent="0.2">
      <c r="G89" s="223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  <c r="AP89" s="167"/>
      <c r="AQ89" s="147"/>
      <c r="AR89" s="167"/>
      <c r="AS89" s="167"/>
      <c r="AT89" s="167"/>
      <c r="AU89" s="167"/>
      <c r="AV89" s="167"/>
      <c r="AW89" s="167"/>
      <c r="AX89" s="167"/>
      <c r="AY89" s="167"/>
      <c r="AZ89" s="167"/>
      <c r="BA89" s="167"/>
      <c r="BB89" s="167"/>
      <c r="BC89" s="167"/>
      <c r="BD89" s="167"/>
      <c r="BE89" s="167"/>
      <c r="BF89" s="167"/>
      <c r="BG89" s="167"/>
      <c r="BH89" s="167"/>
      <c r="BI89" s="167"/>
      <c r="BJ89" s="167"/>
      <c r="BK89" s="167"/>
      <c r="BL89" s="167"/>
      <c r="BM89" s="167"/>
      <c r="BN89" s="167"/>
      <c r="BO89" s="167"/>
      <c r="BS89" s="189"/>
    </row>
    <row r="90" spans="1:80" x14ac:dyDescent="0.2">
      <c r="G90" s="223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  <c r="AM90" s="167"/>
      <c r="AN90" s="167"/>
      <c r="AO90" s="167"/>
      <c r="AP90" s="167"/>
      <c r="AQ90" s="147"/>
      <c r="AR90" s="167"/>
      <c r="AS90" s="167"/>
      <c r="AT90" s="167"/>
      <c r="AU90" s="167"/>
      <c r="AV90" s="167"/>
      <c r="AW90" s="167"/>
      <c r="AX90" s="167"/>
      <c r="AY90" s="167"/>
      <c r="AZ90" s="167"/>
      <c r="BA90" s="167"/>
      <c r="BB90" s="167"/>
      <c r="BC90" s="167"/>
      <c r="BD90" s="167"/>
      <c r="BE90" s="167"/>
      <c r="BF90" s="167"/>
      <c r="BG90" s="167"/>
      <c r="BH90" s="167"/>
      <c r="BI90" s="167"/>
      <c r="BJ90" s="167"/>
      <c r="BK90" s="167"/>
      <c r="BL90" s="167"/>
      <c r="BM90" s="167"/>
      <c r="BN90" s="167"/>
      <c r="BO90" s="167"/>
      <c r="BS90" s="189"/>
    </row>
    <row r="91" spans="1:80" x14ac:dyDescent="0.2">
      <c r="G91" s="223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  <c r="AP91" s="167"/>
      <c r="AQ91" s="14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7"/>
      <c r="BB91" s="167"/>
      <c r="BC91" s="167"/>
      <c r="BD91" s="167"/>
      <c r="BE91" s="167"/>
      <c r="BF91" s="167"/>
      <c r="BG91" s="167"/>
      <c r="BH91" s="167"/>
      <c r="BI91" s="167"/>
      <c r="BJ91" s="167"/>
      <c r="BK91" s="167"/>
      <c r="BL91" s="167"/>
      <c r="BM91" s="167"/>
      <c r="BN91" s="167"/>
      <c r="BO91" s="167"/>
      <c r="BS91" s="189"/>
    </row>
    <row r="92" spans="1:80" x14ac:dyDescent="0.2">
      <c r="G92" s="223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4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S92" s="189"/>
    </row>
    <row r="93" spans="1:80" x14ac:dyDescent="0.2">
      <c r="G93" s="223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4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7"/>
      <c r="BK93" s="167"/>
      <c r="BL93" s="167"/>
      <c r="BM93" s="167"/>
      <c r="BN93" s="167"/>
      <c r="BO93" s="167"/>
      <c r="BS93" s="189"/>
    </row>
    <row r="94" spans="1:80" x14ac:dyDescent="0.2">
      <c r="G94" s="223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  <c r="AP94" s="167"/>
      <c r="AQ94" s="147"/>
      <c r="AR94" s="167"/>
      <c r="AS94" s="167"/>
      <c r="AT94" s="167"/>
      <c r="AU94" s="167"/>
      <c r="AV94" s="167"/>
      <c r="AW94" s="167"/>
      <c r="AX94" s="167"/>
      <c r="AY94" s="167"/>
      <c r="AZ94" s="167"/>
      <c r="BA94" s="167"/>
      <c r="BB94" s="167"/>
      <c r="BC94" s="167"/>
      <c r="BD94" s="167"/>
      <c r="BE94" s="167"/>
      <c r="BF94" s="167"/>
      <c r="BG94" s="167"/>
      <c r="BH94" s="167"/>
      <c r="BI94" s="167"/>
      <c r="BJ94" s="167"/>
      <c r="BK94" s="167"/>
      <c r="BL94" s="167"/>
      <c r="BM94" s="167"/>
      <c r="BN94" s="167"/>
      <c r="BO94" s="167"/>
      <c r="BS94" s="189"/>
    </row>
    <row r="95" spans="1:80" x14ac:dyDescent="0.2">
      <c r="G95" s="223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147"/>
      <c r="AR95" s="167"/>
      <c r="AS95" s="167"/>
      <c r="AT95" s="167"/>
      <c r="AU95" s="167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167"/>
      <c r="BI95" s="167"/>
      <c r="BJ95" s="167"/>
      <c r="BK95" s="167"/>
      <c r="BL95" s="167"/>
      <c r="BM95" s="167"/>
      <c r="BN95" s="167"/>
      <c r="BO95" s="167"/>
      <c r="BS95" s="189"/>
    </row>
    <row r="96" spans="1:80" x14ac:dyDescent="0.2">
      <c r="G96" s="223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  <c r="AM96" s="167"/>
      <c r="AN96" s="167"/>
      <c r="AO96" s="167"/>
      <c r="AP96" s="167"/>
      <c r="AQ96" s="147"/>
      <c r="AR96" s="167"/>
      <c r="AS96" s="167"/>
      <c r="AT96" s="167"/>
      <c r="AU96" s="167"/>
      <c r="AV96" s="167"/>
      <c r="AW96" s="167"/>
      <c r="AX96" s="167"/>
      <c r="AY96" s="167"/>
      <c r="AZ96" s="167"/>
      <c r="BA96" s="167"/>
      <c r="BB96" s="167"/>
      <c r="BC96" s="167"/>
      <c r="BD96" s="167"/>
      <c r="BE96" s="167"/>
      <c r="BF96" s="167"/>
      <c r="BG96" s="167"/>
      <c r="BH96" s="167"/>
      <c r="BI96" s="167"/>
      <c r="BJ96" s="167"/>
      <c r="BK96" s="167"/>
      <c r="BL96" s="167"/>
      <c r="BM96" s="167"/>
      <c r="BN96" s="167"/>
      <c r="BO96" s="167"/>
      <c r="BS96" s="189"/>
    </row>
    <row r="97" spans="7:71" x14ac:dyDescent="0.2">
      <c r="G97" s="223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  <c r="AM97" s="167"/>
      <c r="AN97" s="167"/>
      <c r="AO97" s="167"/>
      <c r="AP97" s="167"/>
      <c r="AQ97" s="147"/>
      <c r="AR97" s="167"/>
      <c r="AS97" s="167"/>
      <c r="AT97" s="167"/>
      <c r="AU97" s="167"/>
      <c r="AV97" s="167"/>
      <c r="AW97" s="167"/>
      <c r="AX97" s="167"/>
      <c r="AY97" s="167"/>
      <c r="AZ97" s="167"/>
      <c r="BA97" s="167"/>
      <c r="BB97" s="167"/>
      <c r="BC97" s="167"/>
      <c r="BD97" s="167"/>
      <c r="BE97" s="167"/>
      <c r="BF97" s="167"/>
      <c r="BG97" s="167"/>
      <c r="BH97" s="167"/>
      <c r="BI97" s="167"/>
      <c r="BJ97" s="167"/>
      <c r="BK97" s="167"/>
      <c r="BL97" s="167"/>
      <c r="BM97" s="167"/>
      <c r="BN97" s="167"/>
      <c r="BO97" s="167"/>
      <c r="BS97" s="189"/>
    </row>
    <row r="98" spans="7:71" x14ac:dyDescent="0.2">
      <c r="G98" s="223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  <c r="AM98" s="167"/>
      <c r="AN98" s="167"/>
      <c r="AO98" s="167"/>
      <c r="AP98" s="167"/>
      <c r="AQ98" s="147"/>
      <c r="AR98" s="167"/>
      <c r="AS98" s="167"/>
      <c r="AT98" s="167"/>
      <c r="AU98" s="167"/>
      <c r="AV98" s="167"/>
      <c r="AW98" s="167"/>
      <c r="AX98" s="167"/>
      <c r="AY98" s="167"/>
      <c r="AZ98" s="167"/>
      <c r="BA98" s="167"/>
      <c r="BB98" s="167"/>
      <c r="BC98" s="167"/>
      <c r="BD98" s="167"/>
      <c r="BE98" s="167"/>
      <c r="BF98" s="167"/>
      <c r="BG98" s="167"/>
      <c r="BH98" s="167"/>
      <c r="BI98" s="167"/>
      <c r="BJ98" s="167"/>
      <c r="BK98" s="167"/>
      <c r="BL98" s="167"/>
      <c r="BM98" s="167"/>
      <c r="BN98" s="167"/>
      <c r="BO98" s="167"/>
      <c r="BS98" s="189"/>
    </row>
    <row r="99" spans="7:71" x14ac:dyDescent="0.2">
      <c r="G99" s="223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  <c r="AM99" s="167"/>
      <c r="AN99" s="167"/>
      <c r="AO99" s="167"/>
      <c r="AP99" s="167"/>
      <c r="AQ99" s="147"/>
      <c r="AR99" s="167"/>
      <c r="AS99" s="167"/>
      <c r="AT99" s="167"/>
      <c r="AU99" s="167"/>
      <c r="AV99" s="167"/>
      <c r="AW99" s="167"/>
      <c r="AX99" s="167"/>
      <c r="AY99" s="167"/>
      <c r="AZ99" s="167"/>
      <c r="BA99" s="167"/>
      <c r="BB99" s="167"/>
      <c r="BC99" s="167"/>
      <c r="BD99" s="167"/>
      <c r="BE99" s="167"/>
      <c r="BF99" s="167"/>
      <c r="BG99" s="167"/>
      <c r="BH99" s="167"/>
      <c r="BI99" s="167"/>
      <c r="BJ99" s="167"/>
      <c r="BK99" s="167"/>
      <c r="BL99" s="167"/>
      <c r="BM99" s="167"/>
      <c r="BN99" s="167"/>
      <c r="BO99" s="167"/>
    </row>
    <row r="100" spans="7:71" x14ac:dyDescent="0.2">
      <c r="G100" s="223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  <c r="AI100" s="167"/>
      <c r="AJ100" s="167"/>
      <c r="AK100" s="167"/>
      <c r="AL100" s="167"/>
      <c r="AM100" s="167"/>
      <c r="AN100" s="167"/>
      <c r="AO100" s="167"/>
      <c r="AP100" s="167"/>
      <c r="AQ100" s="147"/>
      <c r="AR100" s="167"/>
      <c r="AS100" s="167"/>
      <c r="AT100" s="167"/>
      <c r="AU100" s="167"/>
      <c r="AV100" s="167"/>
      <c r="AW100" s="167"/>
      <c r="AX100" s="167"/>
      <c r="AY100" s="167"/>
      <c r="AZ100" s="167"/>
      <c r="BA100" s="167"/>
      <c r="BB100" s="167"/>
      <c r="BC100" s="167"/>
      <c r="BD100" s="167"/>
      <c r="BE100" s="167"/>
      <c r="BF100" s="167"/>
      <c r="BG100" s="167"/>
      <c r="BH100" s="167"/>
      <c r="BI100" s="167"/>
      <c r="BJ100" s="167"/>
      <c r="BK100" s="167"/>
      <c r="BL100" s="167"/>
      <c r="BM100" s="167"/>
      <c r="BN100" s="167"/>
      <c r="BO100" s="167"/>
    </row>
    <row r="101" spans="7:71" x14ac:dyDescent="0.2">
      <c r="G101" s="223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  <c r="AI101" s="167"/>
      <c r="AJ101" s="167"/>
      <c r="AK101" s="167"/>
      <c r="AL101" s="167"/>
      <c r="AM101" s="167"/>
      <c r="AN101" s="167"/>
      <c r="AO101" s="167"/>
      <c r="AP101" s="167"/>
      <c r="AQ101" s="147"/>
      <c r="AR101" s="167"/>
      <c r="AS101" s="167"/>
      <c r="AT101" s="167"/>
      <c r="AU101" s="167"/>
      <c r="AV101" s="167"/>
      <c r="AW101" s="167"/>
      <c r="AX101" s="167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</row>
    <row r="102" spans="7:71" s="159" customFormat="1" x14ac:dyDescent="0.2">
      <c r="G102" s="192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S102" s="147"/>
    </row>
    <row r="103" spans="7:71" x14ac:dyDescent="0.2">
      <c r="G103" s="223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47"/>
      <c r="AR103" s="167"/>
      <c r="AS103" s="167"/>
      <c r="AT103" s="167"/>
      <c r="AU103" s="167"/>
      <c r="AV103" s="167"/>
      <c r="AW103" s="167"/>
      <c r="AX103" s="167"/>
      <c r="AY103" s="167"/>
      <c r="AZ103" s="167"/>
      <c r="BA103" s="167"/>
      <c r="BB103" s="167"/>
      <c r="BC103" s="167"/>
      <c r="BD103" s="167"/>
      <c r="BE103" s="167"/>
      <c r="BF103" s="167"/>
      <c r="BG103" s="167"/>
      <c r="BH103" s="167"/>
      <c r="BI103" s="167"/>
      <c r="BJ103" s="167"/>
      <c r="BK103" s="167"/>
      <c r="BL103" s="167"/>
      <c r="BM103" s="167"/>
      <c r="BN103" s="167"/>
      <c r="BO103" s="167"/>
    </row>
    <row r="104" spans="7:71" x14ac:dyDescent="0.2">
      <c r="G104" s="223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  <c r="AM104" s="167"/>
      <c r="AN104" s="167"/>
      <c r="AO104" s="167"/>
      <c r="AP104" s="167"/>
      <c r="AQ104" s="147"/>
      <c r="AR104" s="167"/>
      <c r="AS104" s="167"/>
      <c r="AT104" s="167"/>
      <c r="AU104" s="167"/>
      <c r="AV104" s="167"/>
      <c r="AW104" s="167"/>
      <c r="AX104" s="167"/>
      <c r="AY104" s="167"/>
      <c r="AZ104" s="167"/>
      <c r="BA104" s="167"/>
      <c r="BB104" s="167"/>
      <c r="BC104" s="167"/>
      <c r="BD104" s="167"/>
      <c r="BE104" s="167"/>
      <c r="BF104" s="167"/>
      <c r="BG104" s="167"/>
      <c r="BH104" s="167"/>
      <c r="BI104" s="167"/>
      <c r="BJ104" s="167"/>
      <c r="BK104" s="167"/>
      <c r="BL104" s="167"/>
      <c r="BM104" s="167"/>
      <c r="BN104" s="167"/>
      <c r="BO104" s="167"/>
    </row>
    <row r="105" spans="7:71" x14ac:dyDescent="0.2">
      <c r="G105" s="223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  <c r="AM105" s="167"/>
      <c r="AN105" s="167"/>
      <c r="AO105" s="167"/>
      <c r="AP105" s="167"/>
      <c r="AQ105" s="14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67"/>
      <c r="BK105" s="167"/>
      <c r="BL105" s="167"/>
      <c r="BM105" s="167"/>
      <c r="BN105" s="167"/>
      <c r="BO105" s="167"/>
    </row>
    <row r="106" spans="7:71" x14ac:dyDescent="0.2">
      <c r="G106" s="223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  <c r="AI106" s="167"/>
      <c r="AJ106" s="167"/>
      <c r="AK106" s="167"/>
      <c r="AL106" s="167"/>
      <c r="AM106" s="167"/>
      <c r="AN106" s="167"/>
      <c r="AO106" s="167"/>
      <c r="AP106" s="167"/>
      <c r="AQ106" s="147"/>
      <c r="AR106" s="167"/>
      <c r="AS106" s="167"/>
      <c r="AT106" s="167"/>
      <c r="AU106" s="167"/>
      <c r="AV106" s="167"/>
      <c r="AW106" s="167"/>
      <c r="AX106" s="167"/>
      <c r="AY106" s="167"/>
      <c r="AZ106" s="167"/>
      <c r="BA106" s="167"/>
      <c r="BB106" s="167"/>
      <c r="BC106" s="167"/>
      <c r="BD106" s="167"/>
      <c r="BE106" s="167"/>
      <c r="BF106" s="167"/>
      <c r="BG106" s="167"/>
      <c r="BH106" s="167"/>
      <c r="BI106" s="167"/>
      <c r="BJ106" s="167"/>
      <c r="BK106" s="167"/>
      <c r="BL106" s="167"/>
      <c r="BM106" s="167"/>
      <c r="BN106" s="167"/>
      <c r="BO106" s="167"/>
    </row>
    <row r="107" spans="7:71" x14ac:dyDescent="0.2">
      <c r="G107" s="223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7"/>
      <c r="AK107" s="167"/>
      <c r="AL107" s="167"/>
      <c r="AM107" s="167"/>
      <c r="AN107" s="167"/>
      <c r="AO107" s="167"/>
      <c r="AP107" s="167"/>
      <c r="AQ107" s="147"/>
      <c r="AR107" s="167"/>
      <c r="AS107" s="167"/>
      <c r="AT107" s="167"/>
      <c r="AU107" s="167"/>
      <c r="AV107" s="167"/>
      <c r="AW107" s="167"/>
      <c r="AX107" s="167"/>
      <c r="AY107" s="167"/>
      <c r="AZ107" s="167"/>
      <c r="BA107" s="167"/>
      <c r="BB107" s="167"/>
      <c r="BC107" s="167"/>
      <c r="BD107" s="167"/>
      <c r="BE107" s="167"/>
      <c r="BF107" s="167"/>
      <c r="BG107" s="167"/>
      <c r="BH107" s="167"/>
      <c r="BI107" s="167"/>
      <c r="BJ107" s="167"/>
      <c r="BK107" s="167"/>
      <c r="BL107" s="167"/>
      <c r="BM107" s="167"/>
      <c r="BN107" s="167"/>
      <c r="BO107" s="167"/>
    </row>
    <row r="108" spans="7:71" x14ac:dyDescent="0.2">
      <c r="G108" s="223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47"/>
      <c r="AR108" s="167"/>
      <c r="AS108" s="167"/>
      <c r="AT108" s="167"/>
      <c r="AU108" s="167"/>
      <c r="AV108" s="167"/>
      <c r="AW108" s="167"/>
      <c r="AX108" s="167"/>
      <c r="AY108" s="167"/>
      <c r="AZ108" s="167"/>
      <c r="BA108" s="167"/>
      <c r="BB108" s="167"/>
      <c r="BC108" s="167"/>
      <c r="BD108" s="167"/>
      <c r="BE108" s="167"/>
      <c r="BF108" s="167"/>
      <c r="BG108" s="167"/>
      <c r="BH108" s="167"/>
      <c r="BI108" s="167"/>
      <c r="BJ108" s="167"/>
      <c r="BK108" s="167"/>
      <c r="BL108" s="167"/>
      <c r="BM108" s="167"/>
      <c r="BN108" s="167"/>
      <c r="BO108" s="167"/>
    </row>
    <row r="109" spans="7:71" x14ac:dyDescent="0.2">
      <c r="G109" s="223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167"/>
      <c r="AL109" s="167"/>
      <c r="AM109" s="167"/>
      <c r="AN109" s="167"/>
      <c r="AO109" s="167"/>
      <c r="AP109" s="167"/>
      <c r="AQ109" s="147"/>
      <c r="AR109" s="167"/>
      <c r="AS109" s="167"/>
      <c r="AT109" s="167"/>
      <c r="AU109" s="167"/>
      <c r="AV109" s="167"/>
      <c r="AW109" s="167"/>
      <c r="AX109" s="167"/>
      <c r="AY109" s="167"/>
      <c r="AZ109" s="167"/>
      <c r="BA109" s="167"/>
      <c r="BB109" s="167"/>
      <c r="BC109" s="167"/>
      <c r="BD109" s="167"/>
      <c r="BE109" s="167"/>
      <c r="BF109" s="167"/>
      <c r="BG109" s="167"/>
      <c r="BH109" s="167"/>
      <c r="BI109" s="167"/>
      <c r="BJ109" s="167"/>
      <c r="BK109" s="167"/>
      <c r="BL109" s="167"/>
      <c r="BM109" s="167"/>
      <c r="BN109" s="167"/>
      <c r="BO109" s="167"/>
    </row>
    <row r="110" spans="7:71" x14ac:dyDescent="0.2">
      <c r="G110" s="223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  <c r="S110" s="167"/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7"/>
      <c r="AK110" s="167"/>
      <c r="AL110" s="167"/>
      <c r="AM110" s="167"/>
      <c r="AN110" s="167"/>
      <c r="AO110" s="167"/>
      <c r="AP110" s="167"/>
      <c r="AQ110" s="147"/>
      <c r="AR110" s="167"/>
      <c r="AS110" s="167"/>
      <c r="AT110" s="167"/>
      <c r="AU110" s="167"/>
      <c r="AV110" s="167"/>
      <c r="AW110" s="167"/>
      <c r="AX110" s="167"/>
      <c r="AY110" s="167"/>
      <c r="AZ110" s="167"/>
      <c r="BA110" s="167"/>
      <c r="BB110" s="167"/>
      <c r="BC110" s="167"/>
      <c r="BD110" s="167"/>
      <c r="BE110" s="167"/>
      <c r="BF110" s="167"/>
      <c r="BG110" s="167"/>
      <c r="BH110" s="167"/>
      <c r="BI110" s="167"/>
      <c r="BJ110" s="167"/>
      <c r="BK110" s="167"/>
      <c r="BL110" s="167"/>
      <c r="BM110" s="167"/>
      <c r="BN110" s="167"/>
      <c r="BO110" s="167"/>
    </row>
    <row r="111" spans="7:71" x14ac:dyDescent="0.2">
      <c r="G111" s="223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7"/>
      <c r="AK111" s="167"/>
      <c r="AL111" s="167"/>
      <c r="AM111" s="167"/>
      <c r="AN111" s="167"/>
      <c r="AO111" s="167"/>
      <c r="AP111" s="167"/>
      <c r="AQ111" s="147"/>
      <c r="AR111" s="167"/>
      <c r="AS111" s="167"/>
      <c r="AT111" s="167"/>
      <c r="AU111" s="167"/>
      <c r="AV111" s="167"/>
      <c r="AW111" s="167"/>
      <c r="AX111" s="167"/>
      <c r="AY111" s="167"/>
      <c r="AZ111" s="167"/>
      <c r="BA111" s="167"/>
      <c r="BB111" s="167"/>
      <c r="BC111" s="167"/>
      <c r="BD111" s="167"/>
      <c r="BE111" s="167"/>
      <c r="BF111" s="167"/>
      <c r="BG111" s="167"/>
      <c r="BH111" s="167"/>
      <c r="BI111" s="167"/>
      <c r="BJ111" s="167"/>
      <c r="BK111" s="167"/>
      <c r="BL111" s="167"/>
      <c r="BM111" s="167"/>
      <c r="BN111" s="167"/>
      <c r="BO111" s="167"/>
    </row>
    <row r="112" spans="7:71" x14ac:dyDescent="0.2">
      <c r="G112" s="223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  <c r="AO112" s="167"/>
      <c r="AP112" s="167"/>
      <c r="AQ112" s="147"/>
      <c r="AR112" s="167"/>
      <c r="AS112" s="167"/>
      <c r="AT112" s="167"/>
      <c r="AU112" s="167"/>
      <c r="AV112" s="167"/>
      <c r="AW112" s="167"/>
      <c r="AX112" s="167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</row>
    <row r="113" spans="7:67" x14ac:dyDescent="0.2">
      <c r="G113" s="223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47"/>
      <c r="AR113" s="167"/>
      <c r="AS113" s="167"/>
      <c r="AT113" s="167"/>
      <c r="AU113" s="167"/>
      <c r="AV113" s="167"/>
      <c r="AW113" s="167"/>
      <c r="AX113" s="167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</row>
    <row r="114" spans="7:67" x14ac:dyDescent="0.2">
      <c r="G114" s="223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47"/>
      <c r="AR114" s="167"/>
      <c r="AS114" s="167"/>
      <c r="AT114" s="167"/>
      <c r="AU114" s="167"/>
      <c r="AV114" s="167"/>
      <c r="AW114" s="167"/>
      <c r="AX114" s="167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</row>
    <row r="115" spans="7:67" x14ac:dyDescent="0.2">
      <c r="G115" s="223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4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</row>
    <row r="116" spans="7:67" x14ac:dyDescent="0.2">
      <c r="G116" s="223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  <c r="AI116" s="167"/>
      <c r="AJ116" s="167"/>
      <c r="AK116" s="167"/>
      <c r="AL116" s="167"/>
      <c r="AM116" s="167"/>
      <c r="AN116" s="167"/>
      <c r="AO116" s="167"/>
      <c r="AP116" s="167"/>
      <c r="AQ116" s="147"/>
      <c r="AR116" s="167"/>
      <c r="AS116" s="167"/>
      <c r="AT116" s="167"/>
      <c r="AU116" s="167"/>
      <c r="AV116" s="167"/>
      <c r="AW116" s="167"/>
      <c r="AX116" s="167"/>
      <c r="AY116" s="167"/>
      <c r="AZ116" s="167"/>
      <c r="BA116" s="167"/>
      <c r="BB116" s="167"/>
      <c r="BC116" s="167"/>
      <c r="BD116" s="167"/>
      <c r="BE116" s="167"/>
      <c r="BF116" s="167"/>
      <c r="BG116" s="167"/>
      <c r="BH116" s="167"/>
      <c r="BI116" s="167"/>
      <c r="BJ116" s="167"/>
      <c r="BK116" s="167"/>
      <c r="BL116" s="167"/>
      <c r="BM116" s="167"/>
      <c r="BN116" s="167"/>
      <c r="BO116" s="167"/>
    </row>
    <row r="117" spans="7:67" x14ac:dyDescent="0.2">
      <c r="G117" s="223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  <c r="AP117" s="167"/>
      <c r="AQ117" s="147"/>
      <c r="AR117" s="167"/>
      <c r="AS117" s="167"/>
      <c r="AT117" s="167"/>
      <c r="AU117" s="167"/>
      <c r="AV117" s="167"/>
      <c r="AW117" s="167"/>
      <c r="AX117" s="167"/>
      <c r="AY117" s="167"/>
      <c r="AZ117" s="167"/>
      <c r="BA117" s="167"/>
      <c r="BB117" s="167"/>
      <c r="BC117" s="167"/>
      <c r="BD117" s="167"/>
      <c r="BE117" s="167"/>
      <c r="BF117" s="167"/>
      <c r="BG117" s="167"/>
      <c r="BH117" s="167"/>
      <c r="BI117" s="167"/>
      <c r="BJ117" s="167"/>
      <c r="BK117" s="167"/>
      <c r="BL117" s="167"/>
      <c r="BM117" s="167"/>
      <c r="BN117" s="167"/>
      <c r="BO117" s="167"/>
    </row>
    <row r="118" spans="7:67" x14ac:dyDescent="0.2">
      <c r="G118" s="223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47"/>
      <c r="AR118" s="167"/>
      <c r="AS118" s="167"/>
      <c r="AT118" s="167"/>
      <c r="AU118" s="167"/>
      <c r="AV118" s="167"/>
      <c r="AW118" s="167"/>
      <c r="AX118" s="167"/>
      <c r="AY118" s="167"/>
      <c r="AZ118" s="167"/>
      <c r="BA118" s="167"/>
      <c r="BB118" s="167"/>
      <c r="BC118" s="167"/>
      <c r="BD118" s="167"/>
      <c r="BE118" s="167"/>
      <c r="BF118" s="167"/>
      <c r="BG118" s="167"/>
      <c r="BH118" s="167"/>
      <c r="BI118" s="167"/>
      <c r="BJ118" s="167"/>
      <c r="BK118" s="167"/>
      <c r="BL118" s="167"/>
      <c r="BM118" s="167"/>
      <c r="BN118" s="167"/>
      <c r="BO118" s="167"/>
    </row>
    <row r="119" spans="7:67" x14ac:dyDescent="0.2">
      <c r="G119" s="223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47"/>
      <c r="AR119" s="167"/>
      <c r="AS119" s="167"/>
      <c r="AT119" s="167"/>
      <c r="AU119" s="167"/>
      <c r="AV119" s="167"/>
      <c r="AW119" s="167"/>
      <c r="AX119" s="167"/>
      <c r="AY119" s="167"/>
      <c r="AZ119" s="167"/>
      <c r="BA119" s="167"/>
      <c r="BB119" s="167"/>
      <c r="BC119" s="167"/>
      <c r="BD119" s="167"/>
      <c r="BE119" s="167"/>
      <c r="BF119" s="167"/>
      <c r="BG119" s="167"/>
      <c r="BH119" s="167"/>
      <c r="BI119" s="167"/>
      <c r="BJ119" s="167"/>
      <c r="BK119" s="167"/>
      <c r="BL119" s="167"/>
      <c r="BM119" s="167"/>
      <c r="BN119" s="167"/>
      <c r="BO119" s="167"/>
    </row>
    <row r="120" spans="7:67" x14ac:dyDescent="0.2">
      <c r="G120" s="223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47"/>
      <c r="AR120" s="167"/>
      <c r="AS120" s="167"/>
      <c r="AT120" s="167"/>
      <c r="AU120" s="167"/>
      <c r="AV120" s="167"/>
      <c r="AW120" s="167"/>
      <c r="AX120" s="167"/>
      <c r="AY120" s="167"/>
      <c r="AZ120" s="167"/>
      <c r="BA120" s="167"/>
      <c r="BB120" s="167"/>
      <c r="BC120" s="167"/>
      <c r="BD120" s="167"/>
      <c r="BE120" s="167"/>
      <c r="BF120" s="167"/>
      <c r="BG120" s="167"/>
      <c r="BH120" s="167"/>
      <c r="BI120" s="167"/>
      <c r="BJ120" s="167"/>
      <c r="BK120" s="167"/>
      <c r="BL120" s="167"/>
      <c r="BM120" s="167"/>
      <c r="BN120" s="167"/>
      <c r="BO120" s="167"/>
    </row>
    <row r="121" spans="7:67" x14ac:dyDescent="0.2">
      <c r="G121" s="223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  <c r="AM121" s="167"/>
      <c r="AN121" s="167"/>
      <c r="AO121" s="167"/>
      <c r="AP121" s="167"/>
      <c r="AQ121" s="147"/>
      <c r="AR121" s="167"/>
      <c r="AS121" s="167"/>
      <c r="AT121" s="167"/>
      <c r="AU121" s="167"/>
      <c r="AV121" s="167"/>
      <c r="AW121" s="167"/>
      <c r="AX121" s="167"/>
      <c r="AY121" s="167"/>
      <c r="AZ121" s="167"/>
      <c r="BA121" s="167"/>
      <c r="BB121" s="167"/>
      <c r="BC121" s="167"/>
      <c r="BD121" s="167"/>
      <c r="BE121" s="167"/>
      <c r="BF121" s="167"/>
      <c r="BG121" s="167"/>
      <c r="BH121" s="167"/>
      <c r="BI121" s="167"/>
      <c r="BJ121" s="167"/>
      <c r="BK121" s="167"/>
      <c r="BL121" s="167"/>
      <c r="BM121" s="167"/>
      <c r="BN121" s="167"/>
      <c r="BO121" s="167"/>
    </row>
    <row r="122" spans="7:67" x14ac:dyDescent="0.2">
      <c r="G122" s="223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4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67"/>
      <c r="BB122" s="167"/>
      <c r="BC122" s="167"/>
      <c r="BD122" s="167"/>
      <c r="BE122" s="167"/>
      <c r="BF122" s="167"/>
      <c r="BG122" s="167"/>
      <c r="BH122" s="167"/>
      <c r="BI122" s="167"/>
      <c r="BJ122" s="167"/>
      <c r="BK122" s="167"/>
      <c r="BL122" s="167"/>
      <c r="BM122" s="167"/>
      <c r="BN122" s="167"/>
      <c r="BO122" s="167"/>
    </row>
    <row r="123" spans="7:67" x14ac:dyDescent="0.2">
      <c r="G123" s="223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  <c r="AP123" s="167"/>
      <c r="AQ123" s="147"/>
      <c r="AR123" s="167"/>
      <c r="AS123" s="167"/>
      <c r="AT123" s="167"/>
      <c r="AU123" s="167"/>
      <c r="AV123" s="167"/>
      <c r="AW123" s="167"/>
      <c r="AX123" s="167"/>
      <c r="AY123" s="167"/>
      <c r="AZ123" s="167"/>
      <c r="BA123" s="167"/>
      <c r="BB123" s="167"/>
      <c r="BC123" s="167"/>
      <c r="BD123" s="167"/>
      <c r="BE123" s="167"/>
      <c r="BF123" s="167"/>
      <c r="BG123" s="167"/>
      <c r="BH123" s="167"/>
      <c r="BI123" s="167"/>
      <c r="BJ123" s="167"/>
      <c r="BK123" s="167"/>
      <c r="BL123" s="167"/>
      <c r="BM123" s="167"/>
      <c r="BN123" s="167"/>
      <c r="BO123" s="167"/>
    </row>
    <row r="124" spans="7:67" x14ac:dyDescent="0.2">
      <c r="G124" s="223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47"/>
      <c r="AR124" s="167"/>
      <c r="AS124" s="167"/>
      <c r="AT124" s="167"/>
      <c r="AU124" s="167"/>
      <c r="AV124" s="167"/>
      <c r="AW124" s="167"/>
      <c r="AX124" s="167"/>
      <c r="AY124" s="167"/>
      <c r="AZ124" s="167"/>
      <c r="BA124" s="167"/>
      <c r="BB124" s="167"/>
      <c r="BC124" s="167"/>
      <c r="BD124" s="167"/>
      <c r="BE124" s="167"/>
      <c r="BF124" s="167"/>
      <c r="BG124" s="167"/>
      <c r="BH124" s="167"/>
      <c r="BI124" s="167"/>
      <c r="BJ124" s="167"/>
      <c r="BK124" s="167"/>
      <c r="BL124" s="167"/>
      <c r="BM124" s="167"/>
      <c r="BN124" s="167"/>
      <c r="BO124" s="167"/>
    </row>
    <row r="125" spans="7:67" x14ac:dyDescent="0.2">
      <c r="G125" s="223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  <c r="AP125" s="167"/>
      <c r="AQ125" s="147"/>
      <c r="AR125" s="167"/>
      <c r="AS125" s="167"/>
      <c r="AT125" s="167"/>
      <c r="AU125" s="167"/>
      <c r="AV125" s="167"/>
      <c r="AW125" s="167"/>
      <c r="AX125" s="167"/>
      <c r="AY125" s="167"/>
      <c r="AZ125" s="167"/>
      <c r="BA125" s="167"/>
      <c r="BB125" s="167"/>
      <c r="BC125" s="167"/>
      <c r="BD125" s="167"/>
      <c r="BE125" s="167"/>
      <c r="BF125" s="167"/>
      <c r="BG125" s="167"/>
      <c r="BH125" s="167"/>
      <c r="BI125" s="167"/>
      <c r="BJ125" s="167"/>
      <c r="BK125" s="167"/>
      <c r="BL125" s="167"/>
      <c r="BM125" s="167"/>
      <c r="BN125" s="167"/>
      <c r="BO125" s="167"/>
    </row>
    <row r="126" spans="7:67" x14ac:dyDescent="0.2">
      <c r="G126" s="223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47"/>
      <c r="AR126" s="167"/>
      <c r="AS126" s="167"/>
      <c r="AT126" s="167"/>
      <c r="AU126" s="167"/>
      <c r="AV126" s="167"/>
      <c r="AW126" s="167"/>
      <c r="AX126" s="167"/>
      <c r="AY126" s="167"/>
      <c r="AZ126" s="167"/>
      <c r="BA126" s="167"/>
      <c r="BB126" s="167"/>
      <c r="BC126" s="167"/>
      <c r="BD126" s="167"/>
      <c r="BE126" s="167"/>
      <c r="BF126" s="167"/>
      <c r="BG126" s="167"/>
      <c r="BH126" s="167"/>
      <c r="BI126" s="167"/>
      <c r="BJ126" s="167"/>
      <c r="BK126" s="167"/>
      <c r="BL126" s="167"/>
      <c r="BM126" s="167"/>
      <c r="BN126" s="167"/>
      <c r="BO126" s="167"/>
    </row>
  </sheetData>
  <phoneticPr fontId="11" type="noConversion"/>
  <conditionalFormatting sqref="D1:E87">
    <cfRule type="cellIs" dxfId="7" priority="1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fitToPage="1"/>
  </sheetPr>
  <dimension ref="A1:DN353"/>
  <sheetViews>
    <sheetView topLeftCell="A40" zoomScaleNormal="100" workbookViewId="0">
      <selection activeCell="AA13" sqref="AA13"/>
    </sheetView>
  </sheetViews>
  <sheetFormatPr defaultRowHeight="12.75" x14ac:dyDescent="0.2"/>
  <cols>
    <col min="1" max="1" width="18" customWidth="1"/>
    <col min="2" max="2" width="17.7109375" customWidth="1"/>
    <col min="3" max="3" width="12" style="3" customWidth="1"/>
    <col min="4" max="5" width="13.140625" style="3" customWidth="1"/>
    <col min="6" max="6" width="14.5703125" style="3" customWidth="1"/>
    <col min="7" max="8" width="11.28515625" style="3" customWidth="1"/>
    <col min="9" max="9" width="21.7109375" style="3" customWidth="1"/>
    <col min="10" max="10" width="14.5703125" style="3" customWidth="1"/>
    <col min="11" max="11" width="11.5703125" style="3" customWidth="1"/>
    <col min="12" max="18" width="12" style="3" customWidth="1"/>
    <col min="20" max="20" width="9.140625" style="189"/>
    <col min="62" max="62" width="13.140625" bestFit="1" customWidth="1"/>
    <col min="63" max="63" width="12.42578125" bestFit="1" customWidth="1"/>
    <col min="64" max="64" width="13.140625" bestFit="1" customWidth="1"/>
    <col min="65" max="65" width="10.42578125" bestFit="1" customWidth="1"/>
    <col min="66" max="66" width="12.42578125" bestFit="1" customWidth="1"/>
  </cols>
  <sheetData>
    <row r="1" spans="1:118" ht="16.5" customHeight="1" thickBot="1" x14ac:dyDescent="0.3">
      <c r="A1" s="35" t="s">
        <v>6</v>
      </c>
      <c r="B1" s="21"/>
      <c r="C1" s="86" t="s">
        <v>4</v>
      </c>
      <c r="D1" s="85">
        <v>40</v>
      </c>
      <c r="E1" s="36" t="s">
        <v>11</v>
      </c>
      <c r="F1" s="37"/>
      <c r="G1" s="38"/>
      <c r="H1" s="22"/>
      <c r="I1" s="12"/>
      <c r="J1" s="12"/>
      <c r="K1"/>
      <c r="M1" s="115"/>
      <c r="N1" s="115"/>
      <c r="O1" s="2"/>
      <c r="P1" s="116"/>
      <c r="Q1" s="116"/>
      <c r="R1" s="2"/>
      <c r="S1" s="2"/>
      <c r="T1" s="2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89"/>
      <c r="DI1" s="189"/>
      <c r="DJ1" s="189"/>
      <c r="DK1" s="189"/>
      <c r="DL1" s="189"/>
      <c r="DM1" s="189"/>
      <c r="DN1" s="189"/>
    </row>
    <row r="2" spans="1:118" ht="16.5" customHeight="1" thickBot="1" x14ac:dyDescent="0.25">
      <c r="A2" s="135" t="s">
        <v>57</v>
      </c>
      <c r="B2" s="140" t="s">
        <v>239</v>
      </c>
      <c r="C2" s="26"/>
      <c r="D2" s="34" t="s">
        <v>9</v>
      </c>
      <c r="E2" s="20"/>
      <c r="F2" s="20"/>
      <c r="G2" s="20"/>
      <c r="H2" s="282"/>
      <c r="I2" s="284" t="s">
        <v>174</v>
      </c>
      <c r="J2" s="287">
        <v>0.54412953563087096</v>
      </c>
      <c r="K2" s="114"/>
      <c r="L2" s="90"/>
      <c r="M2" s="115"/>
      <c r="N2" s="115"/>
      <c r="O2" s="2"/>
      <c r="P2" s="116"/>
      <c r="Q2" s="116"/>
      <c r="R2" s="2"/>
      <c r="S2" s="2"/>
      <c r="T2" s="2"/>
      <c r="U2" s="447" t="s">
        <v>153</v>
      </c>
      <c r="V2" s="445">
        <v>4</v>
      </c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89"/>
      <c r="DI2" s="189"/>
      <c r="DJ2" s="189"/>
      <c r="DK2" s="189"/>
      <c r="DL2" s="189"/>
      <c r="DM2" s="189"/>
      <c r="DN2" s="189"/>
    </row>
    <row r="3" spans="1:118" ht="16.5" customHeight="1" x14ac:dyDescent="0.25">
      <c r="A3" s="23">
        <v>2</v>
      </c>
      <c r="B3" s="134" t="s">
        <v>5</v>
      </c>
      <c r="C3" s="27"/>
      <c r="D3" s="448" t="s">
        <v>3</v>
      </c>
      <c r="E3" s="449"/>
      <c r="F3" s="449"/>
      <c r="G3" s="449"/>
      <c r="H3" s="449"/>
      <c r="I3" s="285"/>
      <c r="J3" s="130"/>
      <c r="K3" s="114"/>
      <c r="L3" s="90"/>
      <c r="M3" s="115"/>
      <c r="N3" s="115"/>
      <c r="O3" s="2"/>
      <c r="P3" s="116"/>
      <c r="Q3" s="116"/>
      <c r="R3" s="2"/>
      <c r="S3" s="2"/>
      <c r="T3" s="2"/>
      <c r="U3" s="444" t="s">
        <v>50</v>
      </c>
      <c r="V3" s="446">
        <v>1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89"/>
      <c r="DI3" s="189"/>
      <c r="DJ3" s="189"/>
      <c r="DK3" s="189"/>
      <c r="DL3" s="189"/>
      <c r="DM3" s="189"/>
      <c r="DN3" s="189"/>
    </row>
    <row r="4" spans="1:118" ht="16.5" customHeight="1" x14ac:dyDescent="0.2">
      <c r="A4" s="24" t="s">
        <v>9</v>
      </c>
      <c r="B4" s="28"/>
      <c r="C4" s="29"/>
      <c r="D4" s="450" t="s">
        <v>25</v>
      </c>
      <c r="E4" s="452" t="s">
        <v>26</v>
      </c>
      <c r="F4" s="452" t="s">
        <v>27</v>
      </c>
      <c r="G4" s="455" t="s">
        <v>28</v>
      </c>
      <c r="H4" s="455" t="s">
        <v>29</v>
      </c>
      <c r="I4" s="286" t="s">
        <v>175</v>
      </c>
      <c r="J4" s="131"/>
      <c r="K4" s="283" t="s">
        <v>2</v>
      </c>
      <c r="L4" s="218" t="s">
        <v>55</v>
      </c>
      <c r="M4" s="219" t="s">
        <v>140</v>
      </c>
      <c r="N4" s="204"/>
      <c r="O4" s="205" t="s">
        <v>132</v>
      </c>
      <c r="P4" s="206"/>
      <c r="Q4" s="207"/>
      <c r="R4" s="207"/>
      <c r="S4" s="122"/>
      <c r="T4" s="122"/>
      <c r="U4" s="133" t="s">
        <v>155</v>
      </c>
      <c r="V4" s="133" t="s">
        <v>156</v>
      </c>
      <c r="W4" s="133" t="s">
        <v>155</v>
      </c>
      <c r="X4" s="158" t="s">
        <v>156</v>
      </c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89"/>
      <c r="DI4" s="189"/>
      <c r="DJ4" s="189"/>
      <c r="DK4" s="189"/>
      <c r="DL4" s="189"/>
      <c r="DM4" s="189"/>
      <c r="DN4" s="189"/>
    </row>
    <row r="5" spans="1:118" ht="16.5" customHeight="1" x14ac:dyDescent="0.2">
      <c r="A5" s="25" t="s">
        <v>2</v>
      </c>
      <c r="B5" s="63" t="s">
        <v>0</v>
      </c>
      <c r="C5" s="49" t="s">
        <v>1</v>
      </c>
      <c r="D5" s="451"/>
      <c r="E5" s="453"/>
      <c r="F5" s="454"/>
      <c r="G5" s="454"/>
      <c r="H5" s="456"/>
      <c r="I5" s="132" t="s">
        <v>7</v>
      </c>
      <c r="J5" s="119" t="s">
        <v>8</v>
      </c>
      <c r="K5" s="117" t="s">
        <v>56</v>
      </c>
      <c r="L5" s="118" t="s">
        <v>56</v>
      </c>
      <c r="M5" s="217" t="s">
        <v>141</v>
      </c>
      <c r="N5" s="208" t="s">
        <v>133</v>
      </c>
      <c r="O5" s="72" t="s">
        <v>134</v>
      </c>
      <c r="P5" s="72" t="s">
        <v>135</v>
      </c>
      <c r="Q5" s="72" t="s">
        <v>136</v>
      </c>
      <c r="R5" s="72" t="s">
        <v>137</v>
      </c>
      <c r="S5" s="209" t="s">
        <v>138</v>
      </c>
      <c r="T5" s="229" t="s">
        <v>147</v>
      </c>
      <c r="U5" s="232" t="s">
        <v>31</v>
      </c>
      <c r="V5" s="232" t="s">
        <v>31</v>
      </c>
      <c r="W5" s="232" t="s">
        <v>154</v>
      </c>
      <c r="X5" s="232" t="s">
        <v>154</v>
      </c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89"/>
      <c r="DI5" s="189"/>
      <c r="DJ5" s="189"/>
      <c r="DK5" s="189"/>
      <c r="DL5" s="189"/>
      <c r="DM5" s="189"/>
      <c r="DN5" s="189"/>
    </row>
    <row r="6" spans="1:118" ht="16.5" customHeight="1" x14ac:dyDescent="0.2">
      <c r="A6" s="39">
        <v>1</v>
      </c>
      <c r="B6" s="81" t="s">
        <v>237</v>
      </c>
      <c r="C6" s="89"/>
      <c r="D6" s="224">
        <v>1</v>
      </c>
      <c r="E6" s="82">
        <v>0.3</v>
      </c>
      <c r="F6" s="83">
        <v>0.5</v>
      </c>
      <c r="G6" s="83">
        <v>0</v>
      </c>
      <c r="H6" s="157">
        <v>1</v>
      </c>
      <c r="I6" s="43">
        <v>0.54772255750516607</v>
      </c>
      <c r="J6" s="44">
        <v>0.54772255750516607</v>
      </c>
      <c r="K6" s="123">
        <v>2</v>
      </c>
      <c r="L6" s="89">
        <v>0.2</v>
      </c>
      <c r="M6" s="129">
        <v>0.64</v>
      </c>
      <c r="N6" s="81"/>
      <c r="O6" s="210"/>
      <c r="P6" s="210"/>
      <c r="Q6" s="210"/>
      <c r="R6" s="210"/>
      <c r="S6" s="153"/>
      <c r="T6" s="153"/>
      <c r="U6" s="233"/>
      <c r="V6" s="233"/>
      <c r="W6" s="233"/>
      <c r="X6" s="233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89"/>
      <c r="DI6" s="189"/>
      <c r="DJ6" s="189"/>
      <c r="DK6" s="189"/>
      <c r="DL6" s="189"/>
      <c r="DM6" s="189"/>
      <c r="DN6" s="189"/>
    </row>
    <row r="7" spans="1:118" ht="16.5" customHeight="1" x14ac:dyDescent="0.2">
      <c r="A7" s="62">
        <v>2</v>
      </c>
      <c r="B7" s="81" t="s">
        <v>238</v>
      </c>
      <c r="C7" s="89"/>
      <c r="D7" s="129">
        <v>1</v>
      </c>
      <c r="E7" s="82">
        <v>0.1</v>
      </c>
      <c r="F7" s="83">
        <v>0.30000000000000004</v>
      </c>
      <c r="G7" s="83">
        <v>0</v>
      </c>
      <c r="H7" s="157">
        <v>1</v>
      </c>
      <c r="I7" s="43">
        <v>0.31622776601683794</v>
      </c>
      <c r="J7" s="44">
        <v>0.31622776601683794</v>
      </c>
      <c r="K7" s="123">
        <v>2</v>
      </c>
      <c r="L7" s="89">
        <v>0.2</v>
      </c>
      <c r="M7" s="129">
        <v>0</v>
      </c>
      <c r="N7" s="81"/>
      <c r="O7" s="210"/>
      <c r="P7" s="210"/>
      <c r="Q7" s="210"/>
      <c r="R7" s="210"/>
      <c r="S7" s="153"/>
      <c r="T7" s="153"/>
      <c r="U7" s="233"/>
      <c r="V7" s="233"/>
      <c r="W7" s="233"/>
      <c r="X7" s="233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89"/>
      <c r="DI7" s="189"/>
      <c r="DJ7" s="189"/>
      <c r="DK7" s="189"/>
      <c r="DL7" s="189"/>
      <c r="DM7" s="189"/>
      <c r="DN7" s="189"/>
    </row>
    <row r="8" spans="1:118" ht="16.5" customHeight="1" x14ac:dyDescent="0.2">
      <c r="A8" s="62">
        <v>3</v>
      </c>
      <c r="B8" s="81"/>
      <c r="C8" s="89"/>
      <c r="D8" s="129"/>
      <c r="E8" s="82"/>
      <c r="F8" s="83"/>
      <c r="G8" s="83"/>
      <c r="H8" s="157"/>
      <c r="I8" s="43"/>
      <c r="J8" s="44"/>
      <c r="K8" s="123"/>
      <c r="L8" s="89"/>
      <c r="M8" s="129"/>
      <c r="N8" s="81"/>
      <c r="O8" s="89"/>
      <c r="P8" s="89"/>
      <c r="Q8" s="89"/>
      <c r="R8" s="89"/>
      <c r="S8" s="31"/>
      <c r="T8" s="31"/>
      <c r="U8" s="234"/>
      <c r="V8" s="234"/>
      <c r="W8" s="234"/>
      <c r="X8" s="233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89"/>
      <c r="DI8" s="189"/>
      <c r="DJ8" s="189"/>
      <c r="DK8" s="189"/>
      <c r="DL8" s="189"/>
      <c r="DM8" s="189"/>
      <c r="DN8" s="189"/>
    </row>
    <row r="9" spans="1:118" ht="16.5" customHeight="1" x14ac:dyDescent="0.2">
      <c r="A9" s="62">
        <v>4</v>
      </c>
      <c r="B9" s="81"/>
      <c r="C9" s="89"/>
      <c r="D9" s="129"/>
      <c r="E9" s="82"/>
      <c r="F9" s="83"/>
      <c r="G9" s="83"/>
      <c r="H9" s="157"/>
      <c r="I9" s="43"/>
      <c r="J9" s="44"/>
      <c r="K9" s="123"/>
      <c r="L9" s="89"/>
      <c r="M9" s="129"/>
      <c r="N9" s="81"/>
      <c r="O9" s="89"/>
      <c r="P9" s="89"/>
      <c r="Q9" s="89"/>
      <c r="R9" s="89"/>
      <c r="S9" s="31"/>
      <c r="T9" s="31"/>
      <c r="U9" s="234"/>
      <c r="V9" s="234"/>
      <c r="W9" s="234"/>
      <c r="X9" s="234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89"/>
      <c r="DI9" s="189"/>
      <c r="DJ9" s="189"/>
      <c r="DK9" s="189"/>
      <c r="DL9" s="189"/>
      <c r="DM9" s="189"/>
      <c r="DN9" s="189"/>
    </row>
    <row r="10" spans="1:118" ht="16.5" customHeight="1" x14ac:dyDescent="0.2">
      <c r="A10" s="62">
        <v>5</v>
      </c>
      <c r="B10" s="87"/>
      <c r="C10" s="89"/>
      <c r="D10" s="129"/>
      <c r="E10" s="82"/>
      <c r="F10" s="83"/>
      <c r="G10" s="83"/>
      <c r="H10" s="157"/>
      <c r="I10" s="43"/>
      <c r="J10" s="44"/>
      <c r="K10" s="123"/>
      <c r="L10" s="84"/>
      <c r="M10" s="129"/>
      <c r="N10" s="81"/>
      <c r="O10" s="89"/>
      <c r="P10" s="89"/>
      <c r="Q10" s="89"/>
      <c r="R10" s="89"/>
      <c r="S10" s="31"/>
      <c r="T10" s="31"/>
      <c r="U10" s="234"/>
      <c r="V10" s="234"/>
      <c r="W10" s="234"/>
      <c r="X10" s="234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89"/>
      <c r="DI10" s="189"/>
      <c r="DJ10" s="189"/>
      <c r="DK10" s="189"/>
      <c r="DL10" s="189"/>
      <c r="DM10" s="189"/>
      <c r="DN10" s="189"/>
    </row>
    <row r="11" spans="1:118" ht="16.5" customHeight="1" x14ac:dyDescent="0.2">
      <c r="A11" s="62">
        <v>6</v>
      </c>
      <c r="B11" s="81"/>
      <c r="C11" s="89"/>
      <c r="D11" s="129"/>
      <c r="E11" s="82"/>
      <c r="F11" s="83"/>
      <c r="G11" s="83"/>
      <c r="H11" s="157"/>
      <c r="I11" s="43"/>
      <c r="J11" s="44"/>
      <c r="K11" s="123"/>
      <c r="L11" s="84"/>
      <c r="M11" s="129"/>
      <c r="N11" s="81"/>
      <c r="O11" s="89"/>
      <c r="P11" s="89"/>
      <c r="Q11" s="89"/>
      <c r="R11" s="89"/>
      <c r="S11" s="31"/>
      <c r="T11" s="31"/>
      <c r="U11" s="234"/>
      <c r="V11" s="234"/>
      <c r="W11" s="234"/>
      <c r="X11" s="234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89"/>
      <c r="DI11" s="189"/>
      <c r="DJ11" s="189"/>
      <c r="DK11" s="189"/>
      <c r="DL11" s="189"/>
      <c r="DM11" s="189"/>
      <c r="DN11" s="189"/>
    </row>
    <row r="12" spans="1:118" s="4" customFormat="1" ht="16.5" customHeight="1" x14ac:dyDescent="0.2">
      <c r="A12" s="62">
        <v>7</v>
      </c>
      <c r="B12" s="87"/>
      <c r="C12" s="89"/>
      <c r="D12" s="129"/>
      <c r="E12" s="82"/>
      <c r="F12" s="83"/>
      <c r="G12" s="83"/>
      <c r="H12" s="157"/>
      <c r="I12" s="43"/>
      <c r="J12" s="44"/>
      <c r="K12" s="203"/>
      <c r="L12" s="84"/>
      <c r="M12" s="129"/>
      <c r="N12" s="81"/>
      <c r="O12" s="89"/>
      <c r="P12" s="89"/>
      <c r="Q12" s="89"/>
      <c r="R12" s="89"/>
      <c r="S12" s="31"/>
      <c r="T12" s="31"/>
      <c r="U12" s="234"/>
      <c r="V12" s="234"/>
      <c r="W12" s="234"/>
      <c r="X12" s="234"/>
      <c r="Z12" s="71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89"/>
      <c r="DI12" s="189"/>
      <c r="DJ12" s="189"/>
      <c r="DK12" s="189"/>
      <c r="DL12" s="189"/>
      <c r="DM12" s="189"/>
      <c r="DN12" s="189"/>
    </row>
    <row r="13" spans="1:118" ht="16.5" customHeight="1" x14ac:dyDescent="0.2">
      <c r="A13" s="62">
        <v>8</v>
      </c>
      <c r="B13" s="81"/>
      <c r="C13" s="31"/>
      <c r="D13" s="82"/>
      <c r="E13" s="82"/>
      <c r="F13" s="83"/>
      <c r="G13" s="83"/>
      <c r="H13" s="157"/>
      <c r="I13" s="43"/>
      <c r="J13" s="44"/>
      <c r="K13" s="123"/>
      <c r="L13" s="84"/>
      <c r="M13" s="129"/>
      <c r="N13" s="81"/>
      <c r="O13" s="89"/>
      <c r="P13" s="89"/>
      <c r="Q13" s="89"/>
      <c r="R13" s="89"/>
      <c r="S13" s="31"/>
      <c r="T13" s="31"/>
      <c r="U13" s="234"/>
      <c r="V13" s="234"/>
      <c r="W13" s="234"/>
      <c r="X13" s="234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89"/>
      <c r="DI13" s="189"/>
      <c r="DJ13" s="189"/>
      <c r="DK13" s="189"/>
      <c r="DL13" s="189"/>
      <c r="DM13" s="189"/>
      <c r="DN13" s="189"/>
    </row>
    <row r="14" spans="1:118" ht="16.5" customHeight="1" x14ac:dyDescent="0.2">
      <c r="A14" s="62">
        <v>9</v>
      </c>
      <c r="B14" s="87"/>
      <c r="C14" s="31"/>
      <c r="D14" s="82"/>
      <c r="E14" s="82"/>
      <c r="F14" s="83"/>
      <c r="G14" s="83"/>
      <c r="H14" s="157"/>
      <c r="I14" s="43"/>
      <c r="J14" s="44"/>
      <c r="K14" s="123"/>
      <c r="L14" s="84"/>
      <c r="M14" s="129"/>
      <c r="N14" s="81"/>
      <c r="O14" s="89"/>
      <c r="P14" s="89"/>
      <c r="Q14" s="89"/>
      <c r="R14" s="89"/>
      <c r="S14" s="31"/>
      <c r="T14" s="31"/>
      <c r="U14" s="234"/>
      <c r="V14" s="234"/>
      <c r="W14" s="234"/>
      <c r="X14" s="234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89"/>
      <c r="DI14" s="189"/>
      <c r="DJ14" s="189"/>
      <c r="DK14" s="189"/>
      <c r="DL14" s="189"/>
      <c r="DM14" s="189"/>
      <c r="DN14" s="189"/>
    </row>
    <row r="15" spans="1:118" ht="16.5" customHeight="1" x14ac:dyDescent="0.2">
      <c r="A15" s="62">
        <v>10</v>
      </c>
      <c r="B15" s="81"/>
      <c r="C15" s="31"/>
      <c r="D15" s="82"/>
      <c r="E15" s="82"/>
      <c r="F15" s="83"/>
      <c r="G15" s="83"/>
      <c r="H15" s="157"/>
      <c r="I15" s="43"/>
      <c r="J15" s="44"/>
      <c r="K15" s="123"/>
      <c r="L15" s="84"/>
      <c r="M15" s="129"/>
      <c r="N15" s="81"/>
      <c r="O15" s="89"/>
      <c r="P15" s="89"/>
      <c r="Q15" s="89"/>
      <c r="R15" s="89"/>
      <c r="S15" s="31"/>
      <c r="T15" s="31"/>
      <c r="U15" s="234"/>
      <c r="V15" s="234"/>
      <c r="W15" s="234"/>
      <c r="X15" s="234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89"/>
      <c r="DI15" s="189"/>
      <c r="DJ15" s="189"/>
      <c r="DK15" s="189"/>
      <c r="DL15" s="189"/>
      <c r="DM15" s="189"/>
      <c r="DN15" s="189"/>
    </row>
    <row r="16" spans="1:118" ht="16.5" customHeight="1" x14ac:dyDescent="0.2">
      <c r="A16" s="62">
        <v>11</v>
      </c>
      <c r="B16" s="87"/>
      <c r="C16" s="31"/>
      <c r="D16" s="82"/>
      <c r="E16" s="82"/>
      <c r="F16" s="83"/>
      <c r="G16" s="83"/>
      <c r="H16" s="157"/>
      <c r="I16" s="43"/>
      <c r="J16" s="44"/>
      <c r="K16" s="123"/>
      <c r="L16" s="84"/>
      <c r="M16" s="129"/>
      <c r="N16" s="81"/>
      <c r="O16" s="89"/>
      <c r="P16" s="89"/>
      <c r="Q16" s="89"/>
      <c r="R16" s="89"/>
      <c r="S16" s="31"/>
      <c r="T16" s="31"/>
      <c r="U16" s="234"/>
      <c r="V16" s="234"/>
      <c r="W16" s="234"/>
      <c r="X16" s="234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89"/>
      <c r="DI16" s="189"/>
      <c r="DJ16" s="189"/>
      <c r="DK16" s="189"/>
      <c r="DL16" s="189"/>
      <c r="DM16" s="189"/>
      <c r="DN16" s="189"/>
    </row>
    <row r="17" spans="1:118" ht="16.5" customHeight="1" x14ac:dyDescent="0.2">
      <c r="A17" s="62">
        <v>12</v>
      </c>
      <c r="B17" s="81"/>
      <c r="C17" s="31"/>
      <c r="D17" s="82"/>
      <c r="E17" s="82"/>
      <c r="F17" s="83"/>
      <c r="G17" s="83"/>
      <c r="H17" s="157"/>
      <c r="I17" s="43"/>
      <c r="J17" s="44"/>
      <c r="K17" s="123"/>
      <c r="L17" s="84"/>
      <c r="M17" s="129"/>
      <c r="N17" s="81"/>
      <c r="O17" s="89"/>
      <c r="P17" s="89"/>
      <c r="Q17" s="89"/>
      <c r="R17" s="89"/>
      <c r="S17" s="31"/>
      <c r="T17" s="31"/>
      <c r="U17" s="234"/>
      <c r="V17" s="234"/>
      <c r="W17" s="234"/>
      <c r="X17" s="234"/>
      <c r="Z17" s="240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89"/>
      <c r="DI17" s="189"/>
      <c r="DJ17" s="189"/>
      <c r="DK17" s="189"/>
      <c r="DL17" s="189"/>
      <c r="DM17" s="189"/>
      <c r="DN17" s="189"/>
    </row>
    <row r="18" spans="1:118" ht="16.5" customHeight="1" x14ac:dyDescent="0.2">
      <c r="A18" s="62">
        <v>13</v>
      </c>
      <c r="B18" s="87"/>
      <c r="C18" s="31"/>
      <c r="D18" s="82"/>
      <c r="E18" s="82"/>
      <c r="F18" s="83"/>
      <c r="G18" s="83"/>
      <c r="H18" s="157"/>
      <c r="I18" s="43"/>
      <c r="J18" s="44"/>
      <c r="K18" s="123"/>
      <c r="L18" s="84"/>
      <c r="M18" s="129"/>
      <c r="N18" s="81"/>
      <c r="O18" s="89"/>
      <c r="P18" s="89"/>
      <c r="Q18" s="89"/>
      <c r="R18" s="89"/>
      <c r="S18" s="31"/>
      <c r="T18" s="31"/>
      <c r="U18" s="234"/>
      <c r="V18" s="234"/>
      <c r="W18" s="234"/>
      <c r="X18" s="234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89"/>
      <c r="DI18" s="189"/>
      <c r="DJ18" s="189"/>
      <c r="DK18" s="189"/>
      <c r="DL18" s="189"/>
      <c r="DM18" s="189"/>
      <c r="DN18" s="189"/>
    </row>
    <row r="19" spans="1:118" ht="16.5" customHeight="1" x14ac:dyDescent="0.2">
      <c r="A19" s="62">
        <v>14</v>
      </c>
      <c r="B19" s="81"/>
      <c r="C19" s="31"/>
      <c r="D19" s="82"/>
      <c r="E19" s="82"/>
      <c r="F19" s="83"/>
      <c r="G19" s="83"/>
      <c r="H19" s="157"/>
      <c r="I19" s="43"/>
      <c r="J19" s="44"/>
      <c r="K19" s="123"/>
      <c r="L19" s="84"/>
      <c r="M19" s="129"/>
      <c r="N19" s="81"/>
      <c r="O19" s="89"/>
      <c r="P19" s="89"/>
      <c r="Q19" s="89"/>
      <c r="R19" s="89"/>
      <c r="S19" s="31"/>
      <c r="T19" s="31"/>
      <c r="U19" s="234"/>
      <c r="V19" s="234"/>
      <c r="W19" s="234"/>
      <c r="X19" s="234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89"/>
      <c r="DI19" s="189"/>
      <c r="DJ19" s="189"/>
      <c r="DK19" s="189"/>
      <c r="DL19" s="189"/>
      <c r="DM19" s="189"/>
      <c r="DN19" s="189"/>
    </row>
    <row r="20" spans="1:118" ht="16.5" customHeight="1" x14ac:dyDescent="0.2">
      <c r="A20" s="62">
        <v>15</v>
      </c>
      <c r="B20" s="87"/>
      <c r="C20" s="31"/>
      <c r="D20" s="82"/>
      <c r="E20" s="82"/>
      <c r="F20" s="83"/>
      <c r="G20" s="83"/>
      <c r="H20" s="157"/>
      <c r="I20" s="43"/>
      <c r="J20" s="44"/>
      <c r="K20" s="123"/>
      <c r="L20" s="84"/>
      <c r="M20" s="129"/>
      <c r="N20" s="81"/>
      <c r="O20" s="89"/>
      <c r="P20" s="89"/>
      <c r="Q20" s="89"/>
      <c r="R20" s="89"/>
      <c r="S20" s="31"/>
      <c r="T20" s="31"/>
      <c r="U20" s="234"/>
      <c r="V20" s="234"/>
      <c r="W20" s="234"/>
      <c r="X20" s="234"/>
      <c r="Z20" s="19"/>
      <c r="AA20" s="160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89"/>
      <c r="DI20" s="189"/>
      <c r="DJ20" s="189"/>
      <c r="DK20" s="189"/>
      <c r="DL20" s="189"/>
      <c r="DM20" s="189"/>
      <c r="DN20" s="189"/>
    </row>
    <row r="21" spans="1:118" ht="16.5" customHeight="1" x14ac:dyDescent="0.2">
      <c r="A21" s="62">
        <v>16</v>
      </c>
      <c r="B21" s="81"/>
      <c r="C21" s="31"/>
      <c r="D21" s="82"/>
      <c r="E21" s="82"/>
      <c r="F21" s="83"/>
      <c r="G21" s="83"/>
      <c r="H21" s="157"/>
      <c r="I21" s="43"/>
      <c r="J21" s="44"/>
      <c r="K21" s="123"/>
      <c r="L21" s="84"/>
      <c r="M21" s="129"/>
      <c r="N21" s="81"/>
      <c r="O21" s="89"/>
      <c r="P21" s="89"/>
      <c r="Q21" s="89"/>
      <c r="R21" s="89"/>
      <c r="S21" s="31"/>
      <c r="T21" s="31"/>
      <c r="U21" s="234"/>
      <c r="V21" s="234"/>
      <c r="W21" s="234"/>
      <c r="X21" s="234"/>
      <c r="Z21" s="19"/>
      <c r="AA21" s="160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89"/>
      <c r="DI21" s="189"/>
      <c r="DJ21" s="189"/>
      <c r="DK21" s="189"/>
      <c r="DL21" s="189"/>
      <c r="DM21" s="189"/>
      <c r="DN21" s="189"/>
    </row>
    <row r="22" spans="1:118" ht="16.5" customHeight="1" x14ac:dyDescent="0.2">
      <c r="A22" s="62">
        <v>17</v>
      </c>
      <c r="B22" s="87"/>
      <c r="C22" s="31"/>
      <c r="D22" s="82"/>
      <c r="E22" s="82"/>
      <c r="F22" s="83"/>
      <c r="G22" s="83"/>
      <c r="H22" s="157"/>
      <c r="I22" s="43"/>
      <c r="J22" s="44"/>
      <c r="K22" s="123"/>
      <c r="L22" s="84"/>
      <c r="M22" s="129"/>
      <c r="N22" s="81"/>
      <c r="O22" s="89"/>
      <c r="P22" s="89"/>
      <c r="Q22" s="89"/>
      <c r="R22" s="89"/>
      <c r="S22" s="31"/>
      <c r="T22" s="31"/>
      <c r="U22" s="234"/>
      <c r="V22" s="234"/>
      <c r="W22" s="234"/>
      <c r="X22" s="234"/>
      <c r="Z22" s="19"/>
      <c r="AA22" s="19"/>
      <c r="AB22" s="238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89"/>
      <c r="DI22" s="189"/>
      <c r="DJ22" s="189"/>
      <c r="DK22" s="189"/>
      <c r="DL22" s="189"/>
      <c r="DM22" s="189"/>
      <c r="DN22" s="189"/>
    </row>
    <row r="23" spans="1:118" ht="16.5" customHeight="1" x14ac:dyDescent="0.2">
      <c r="A23" s="62">
        <v>18</v>
      </c>
      <c r="B23" s="81"/>
      <c r="C23" s="31"/>
      <c r="D23" s="82"/>
      <c r="E23" s="82"/>
      <c r="F23" s="83"/>
      <c r="G23" s="83"/>
      <c r="H23" s="157"/>
      <c r="I23" s="43"/>
      <c r="J23" s="44"/>
      <c r="K23" s="123"/>
      <c r="L23" s="84"/>
      <c r="M23" s="129"/>
      <c r="N23" s="81"/>
      <c r="O23" s="89"/>
      <c r="P23" s="89"/>
      <c r="Q23" s="89"/>
      <c r="R23" s="89"/>
      <c r="S23" s="31"/>
      <c r="T23" s="31"/>
      <c r="U23" s="234"/>
      <c r="V23" s="234"/>
      <c r="W23" s="234"/>
      <c r="X23" s="234"/>
      <c r="Z23" s="19"/>
      <c r="AA23" s="237"/>
      <c r="AB23" s="238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89"/>
      <c r="DI23" s="189"/>
      <c r="DJ23" s="189"/>
      <c r="DK23" s="189"/>
      <c r="DL23" s="189"/>
      <c r="DM23" s="189"/>
      <c r="DN23" s="189"/>
    </row>
    <row r="24" spans="1:118" ht="16.5" customHeight="1" x14ac:dyDescent="0.2">
      <c r="A24" s="62">
        <v>19</v>
      </c>
      <c r="B24" s="87"/>
      <c r="C24" s="31"/>
      <c r="D24" s="82"/>
      <c r="E24" s="82"/>
      <c r="F24" s="83"/>
      <c r="G24" s="83"/>
      <c r="H24" s="157"/>
      <c r="I24" s="43"/>
      <c r="J24" s="44"/>
      <c r="K24" s="123"/>
      <c r="L24" s="84"/>
      <c r="M24" s="129"/>
      <c r="N24" s="81"/>
      <c r="O24" s="89"/>
      <c r="P24" s="89"/>
      <c r="Q24" s="89"/>
      <c r="R24" s="89"/>
      <c r="S24" s="31"/>
      <c r="T24" s="31"/>
      <c r="U24" s="234"/>
      <c r="V24" s="234"/>
      <c r="W24" s="234"/>
      <c r="X24" s="234"/>
      <c r="Z24" s="19"/>
      <c r="AA24" s="237"/>
      <c r="AB24" s="238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89"/>
      <c r="DI24" s="189"/>
      <c r="DJ24" s="189"/>
      <c r="DK24" s="189"/>
      <c r="DL24" s="189"/>
      <c r="DM24" s="189"/>
      <c r="DN24" s="189"/>
    </row>
    <row r="25" spans="1:118" ht="16.5" customHeight="1" x14ac:dyDescent="0.2">
      <c r="A25" s="62">
        <v>20</v>
      </c>
      <c r="B25" s="87"/>
      <c r="C25" s="31"/>
      <c r="D25" s="82"/>
      <c r="E25" s="82"/>
      <c r="F25" s="83"/>
      <c r="G25" s="83"/>
      <c r="H25" s="157"/>
      <c r="I25" s="43"/>
      <c r="J25" s="44"/>
      <c r="K25" s="123"/>
      <c r="L25" s="84"/>
      <c r="M25" s="129"/>
      <c r="N25" s="81"/>
      <c r="O25" s="89"/>
      <c r="P25" s="89"/>
      <c r="Q25" s="89"/>
      <c r="R25" s="89"/>
      <c r="S25" s="31"/>
      <c r="T25" s="31"/>
      <c r="U25" s="234"/>
      <c r="V25" s="234"/>
      <c r="W25" s="234"/>
      <c r="X25" s="234"/>
      <c r="Z25" s="19"/>
      <c r="AA25" s="237"/>
      <c r="AB25" s="238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89"/>
      <c r="DI25" s="189"/>
      <c r="DJ25" s="189"/>
      <c r="DK25" s="189"/>
      <c r="DL25" s="189"/>
      <c r="DM25" s="189"/>
      <c r="DN25" s="189"/>
    </row>
    <row r="26" spans="1:118" ht="16.5" customHeight="1" x14ac:dyDescent="0.2">
      <c r="A26" s="62">
        <v>21</v>
      </c>
      <c r="B26" s="87"/>
      <c r="C26" s="31"/>
      <c r="D26" s="82"/>
      <c r="E26" s="82"/>
      <c r="F26" s="83"/>
      <c r="G26" s="83"/>
      <c r="H26" s="157"/>
      <c r="I26" s="43"/>
      <c r="J26" s="44"/>
      <c r="K26" s="123"/>
      <c r="L26" s="84"/>
      <c r="M26" s="129"/>
      <c r="N26" s="81"/>
      <c r="O26" s="89"/>
      <c r="P26" s="89"/>
      <c r="Q26" s="89"/>
      <c r="R26" s="89"/>
      <c r="S26" s="31"/>
      <c r="T26" s="31"/>
      <c r="U26" s="234"/>
      <c r="V26" s="234"/>
      <c r="W26" s="234"/>
      <c r="X26" s="234"/>
      <c r="Z26" s="19"/>
      <c r="AA26" s="237"/>
      <c r="AB26" s="238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89"/>
      <c r="DI26" s="189"/>
      <c r="DJ26" s="189"/>
      <c r="DK26" s="189"/>
      <c r="DL26" s="189"/>
      <c r="DM26" s="189"/>
      <c r="DN26" s="189"/>
    </row>
    <row r="27" spans="1:118" ht="16.5" customHeight="1" x14ac:dyDescent="0.2">
      <c r="A27" s="62">
        <v>22</v>
      </c>
      <c r="B27" s="87"/>
      <c r="C27" s="31"/>
      <c r="D27" s="82"/>
      <c r="E27" s="82"/>
      <c r="F27" s="83"/>
      <c r="G27" s="83"/>
      <c r="H27" s="157"/>
      <c r="I27" s="43"/>
      <c r="J27" s="44"/>
      <c r="K27" s="123"/>
      <c r="L27" s="84"/>
      <c r="M27" s="129"/>
      <c r="N27" s="81"/>
      <c r="O27" s="89"/>
      <c r="P27" s="89"/>
      <c r="Q27" s="89"/>
      <c r="R27" s="89"/>
      <c r="S27" s="31"/>
      <c r="T27" s="31"/>
      <c r="U27" s="234"/>
      <c r="V27" s="234"/>
      <c r="W27" s="234"/>
      <c r="X27" s="234"/>
      <c r="Z27" s="19"/>
      <c r="AA27" s="160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89"/>
      <c r="DI27" s="189"/>
      <c r="DJ27" s="189"/>
      <c r="DK27" s="189"/>
      <c r="DL27" s="189"/>
      <c r="DM27" s="189"/>
      <c r="DN27" s="189"/>
    </row>
    <row r="28" spans="1:118" ht="16.5" customHeight="1" x14ac:dyDescent="0.2">
      <c r="A28" s="62">
        <v>23</v>
      </c>
      <c r="B28" s="87"/>
      <c r="C28" s="31"/>
      <c r="D28" s="82"/>
      <c r="E28" s="82"/>
      <c r="F28" s="83"/>
      <c r="G28" s="83"/>
      <c r="H28" s="157"/>
      <c r="I28" s="43"/>
      <c r="J28" s="44"/>
      <c r="K28" s="123"/>
      <c r="L28" s="84"/>
      <c r="M28" s="129"/>
      <c r="N28" s="81"/>
      <c r="O28" s="89"/>
      <c r="P28" s="89"/>
      <c r="Q28" s="89"/>
      <c r="R28" s="89"/>
      <c r="S28" s="31"/>
      <c r="T28" s="31"/>
      <c r="U28" s="234"/>
      <c r="V28" s="234"/>
      <c r="W28" s="234"/>
      <c r="X28" s="234"/>
      <c r="Z28" s="19"/>
      <c r="AA28" s="160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89"/>
      <c r="DI28" s="189"/>
      <c r="DJ28" s="189"/>
      <c r="DK28" s="189"/>
      <c r="DL28" s="189"/>
      <c r="DM28" s="189"/>
      <c r="DN28" s="189"/>
    </row>
    <row r="29" spans="1:118" ht="16.5" customHeight="1" x14ac:dyDescent="0.2">
      <c r="A29" s="62">
        <v>24</v>
      </c>
      <c r="B29" s="87"/>
      <c r="C29" s="31"/>
      <c r="D29" s="82"/>
      <c r="E29" s="82"/>
      <c r="F29" s="83"/>
      <c r="G29" s="83"/>
      <c r="H29" s="157"/>
      <c r="I29" s="43"/>
      <c r="J29" s="44"/>
      <c r="K29" s="123"/>
      <c r="L29" s="84"/>
      <c r="M29" s="129"/>
      <c r="N29" s="81"/>
      <c r="O29" s="89"/>
      <c r="P29" s="89"/>
      <c r="Q29" s="89"/>
      <c r="R29" s="89"/>
      <c r="S29" s="31"/>
      <c r="T29" s="31"/>
      <c r="U29" s="234"/>
      <c r="V29" s="234"/>
      <c r="W29" s="234"/>
      <c r="X29" s="234"/>
      <c r="Z29" s="19"/>
      <c r="AA29" s="160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89"/>
      <c r="DI29" s="189"/>
      <c r="DJ29" s="189"/>
      <c r="DK29" s="189"/>
      <c r="DL29" s="189"/>
      <c r="DM29" s="189"/>
      <c r="DN29" s="189"/>
    </row>
    <row r="30" spans="1:118" ht="16.5" customHeight="1" x14ac:dyDescent="0.2">
      <c r="A30" s="62">
        <v>25</v>
      </c>
      <c r="B30" s="87"/>
      <c r="C30" s="31"/>
      <c r="D30" s="82"/>
      <c r="E30" s="82"/>
      <c r="F30" s="83"/>
      <c r="G30" s="83"/>
      <c r="H30" s="157"/>
      <c r="I30" s="43"/>
      <c r="J30" s="44"/>
      <c r="K30" s="123"/>
      <c r="L30" s="84"/>
      <c r="M30" s="129"/>
      <c r="N30" s="81"/>
      <c r="O30" s="89"/>
      <c r="P30" s="89"/>
      <c r="Q30" s="89"/>
      <c r="R30" s="89"/>
      <c r="S30" s="31"/>
      <c r="T30" s="31"/>
      <c r="U30" s="234"/>
      <c r="V30" s="234"/>
      <c r="W30" s="234"/>
      <c r="X30" s="234"/>
      <c r="Z30" s="19"/>
      <c r="AA30" s="160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89"/>
      <c r="DI30" s="189"/>
      <c r="DJ30" s="189"/>
      <c r="DK30" s="189"/>
      <c r="DL30" s="189"/>
      <c r="DM30" s="189"/>
      <c r="DN30" s="189"/>
    </row>
    <row r="31" spans="1:118" ht="16.5" customHeight="1" x14ac:dyDescent="0.2">
      <c r="A31" s="62">
        <v>26</v>
      </c>
      <c r="B31" s="87"/>
      <c r="C31" s="31"/>
      <c r="D31" s="64"/>
      <c r="E31" s="68"/>
      <c r="F31" s="68"/>
      <c r="G31" s="68"/>
      <c r="H31" s="77"/>
      <c r="I31" s="43"/>
      <c r="J31" s="44"/>
      <c r="K31" s="123"/>
      <c r="L31" s="84"/>
      <c r="M31" s="129"/>
      <c r="N31" s="81"/>
      <c r="O31" s="89"/>
      <c r="P31" s="89"/>
      <c r="Q31" s="89"/>
      <c r="R31" s="89"/>
      <c r="S31" s="31"/>
      <c r="T31" s="31"/>
      <c r="U31" s="234"/>
      <c r="V31" s="234"/>
      <c r="W31" s="234"/>
      <c r="X31" s="234"/>
      <c r="Z31" s="19"/>
      <c r="AA31" s="160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89"/>
      <c r="DI31" s="189"/>
      <c r="DJ31" s="189"/>
      <c r="DK31" s="189"/>
      <c r="DL31" s="189"/>
      <c r="DM31" s="189"/>
      <c r="DN31" s="189"/>
    </row>
    <row r="32" spans="1:118" ht="16.5" customHeight="1" x14ac:dyDescent="0.2">
      <c r="A32" s="62">
        <v>27</v>
      </c>
      <c r="B32" s="87"/>
      <c r="C32" s="31"/>
      <c r="D32" s="64"/>
      <c r="E32" s="68"/>
      <c r="F32" s="68"/>
      <c r="G32" s="68"/>
      <c r="H32" s="77"/>
      <c r="I32" s="43"/>
      <c r="J32" s="44"/>
      <c r="K32" s="123"/>
      <c r="L32" s="84"/>
      <c r="M32" s="129"/>
      <c r="N32" s="81"/>
      <c r="O32" s="89"/>
      <c r="P32" s="89"/>
      <c r="Q32" s="89"/>
      <c r="R32" s="89"/>
      <c r="S32" s="31"/>
      <c r="T32" s="31"/>
      <c r="U32" s="234"/>
      <c r="V32" s="234"/>
      <c r="W32" s="234"/>
      <c r="X32" s="234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89"/>
      <c r="DI32" s="189"/>
      <c r="DJ32" s="189"/>
      <c r="DK32" s="189"/>
      <c r="DL32" s="189"/>
      <c r="DM32" s="189"/>
      <c r="DN32" s="189"/>
    </row>
    <row r="33" spans="1:118" ht="16.5" customHeight="1" x14ac:dyDescent="0.2">
      <c r="A33" s="62">
        <v>28</v>
      </c>
      <c r="B33" s="87"/>
      <c r="C33" s="31"/>
      <c r="D33" s="64"/>
      <c r="E33" s="68"/>
      <c r="F33" s="68"/>
      <c r="G33" s="68"/>
      <c r="H33" s="77"/>
      <c r="I33" s="43"/>
      <c r="J33" s="44"/>
      <c r="K33" s="123"/>
      <c r="L33" s="84"/>
      <c r="M33" s="129"/>
      <c r="N33" s="81"/>
      <c r="O33" s="89"/>
      <c r="P33" s="89"/>
      <c r="Q33" s="89"/>
      <c r="R33" s="89"/>
      <c r="S33" s="31"/>
      <c r="T33" s="31"/>
      <c r="U33" s="234"/>
      <c r="V33" s="234"/>
      <c r="W33" s="234"/>
      <c r="X33" s="234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89"/>
      <c r="DI33" s="189"/>
      <c r="DJ33" s="189"/>
      <c r="DK33" s="189"/>
      <c r="DL33" s="189"/>
      <c r="DM33" s="189"/>
      <c r="DN33" s="189"/>
    </row>
    <row r="34" spans="1:118" ht="16.5" customHeight="1" x14ac:dyDescent="0.2">
      <c r="A34" s="62">
        <v>29</v>
      </c>
      <c r="B34" s="87"/>
      <c r="C34" s="31"/>
      <c r="D34" s="64"/>
      <c r="E34" s="68"/>
      <c r="F34" s="68"/>
      <c r="G34" s="68"/>
      <c r="H34" s="77"/>
      <c r="I34" s="43"/>
      <c r="J34" s="44"/>
      <c r="K34" s="123"/>
      <c r="L34" s="84"/>
      <c r="M34" s="129"/>
      <c r="N34" s="81"/>
      <c r="O34" s="89"/>
      <c r="P34" s="89"/>
      <c r="Q34" s="89"/>
      <c r="R34" s="89"/>
      <c r="S34" s="31"/>
      <c r="T34" s="31"/>
      <c r="U34" s="234"/>
      <c r="V34" s="234"/>
      <c r="W34" s="234"/>
      <c r="X34" s="234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89"/>
      <c r="DI34" s="189"/>
      <c r="DJ34" s="189"/>
      <c r="DK34" s="189"/>
      <c r="DL34" s="189"/>
      <c r="DM34" s="189"/>
      <c r="DN34" s="189"/>
    </row>
    <row r="35" spans="1:118" ht="16.5" customHeight="1" x14ac:dyDescent="0.2">
      <c r="A35" s="62"/>
      <c r="B35" s="87"/>
      <c r="C35" s="31"/>
      <c r="D35" s="64"/>
      <c r="E35" s="68"/>
      <c r="F35" s="68"/>
      <c r="G35" s="68"/>
      <c r="H35" s="77"/>
      <c r="I35" s="43"/>
      <c r="J35" s="44"/>
      <c r="K35" s="123"/>
      <c r="L35" s="84"/>
      <c r="M35" s="129"/>
      <c r="N35" s="81"/>
      <c r="O35" s="89"/>
      <c r="P35" s="89"/>
      <c r="Q35" s="89"/>
      <c r="R35" s="89"/>
      <c r="S35" s="31"/>
      <c r="T35" s="31"/>
      <c r="U35" s="234"/>
      <c r="V35" s="234"/>
      <c r="W35" s="234"/>
      <c r="X35" s="234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89"/>
      <c r="DI35" s="189"/>
      <c r="DJ35" s="189"/>
      <c r="DK35" s="189"/>
      <c r="DL35" s="189"/>
      <c r="DM35" s="189"/>
      <c r="DN35" s="189"/>
    </row>
    <row r="36" spans="1:118" ht="16.5" customHeight="1" x14ac:dyDescent="0.2">
      <c r="A36" s="62"/>
      <c r="B36" s="87"/>
      <c r="C36" s="31"/>
      <c r="D36" s="64"/>
      <c r="E36" s="68"/>
      <c r="F36" s="68"/>
      <c r="G36" s="68"/>
      <c r="H36" s="77"/>
      <c r="I36" s="43"/>
      <c r="J36" s="44"/>
      <c r="K36" s="123"/>
      <c r="L36" s="84"/>
      <c r="M36" s="129"/>
      <c r="N36" s="81"/>
      <c r="O36" s="89"/>
      <c r="P36" s="89"/>
      <c r="Q36" s="89"/>
      <c r="R36" s="89"/>
      <c r="S36" s="31"/>
      <c r="T36" s="31"/>
      <c r="U36" s="234"/>
      <c r="V36" s="234"/>
      <c r="W36" s="234"/>
      <c r="X36" s="234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89"/>
      <c r="DI36" s="189"/>
      <c r="DJ36" s="189"/>
      <c r="DK36" s="189"/>
      <c r="DL36" s="189"/>
      <c r="DM36" s="189"/>
      <c r="DN36" s="189"/>
    </row>
    <row r="37" spans="1:118" ht="16.5" customHeight="1" x14ac:dyDescent="0.2">
      <c r="A37" s="62"/>
      <c r="B37" s="87"/>
      <c r="C37" s="31"/>
      <c r="D37" s="64"/>
      <c r="E37" s="68"/>
      <c r="F37" s="68"/>
      <c r="G37" s="68"/>
      <c r="H37" s="77"/>
      <c r="I37" s="43"/>
      <c r="J37" s="44"/>
      <c r="K37" s="123"/>
      <c r="L37" s="84"/>
      <c r="M37" s="129"/>
      <c r="N37" s="81"/>
      <c r="O37" s="89"/>
      <c r="P37" s="89"/>
      <c r="Q37" s="89"/>
      <c r="R37" s="89"/>
      <c r="S37" s="31"/>
      <c r="T37" s="31"/>
      <c r="U37" s="234"/>
      <c r="V37" s="234"/>
      <c r="W37" s="234"/>
      <c r="X37" s="234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89"/>
      <c r="DI37" s="189"/>
      <c r="DJ37" s="189"/>
      <c r="DK37" s="189"/>
      <c r="DL37" s="189"/>
      <c r="DM37" s="189"/>
      <c r="DN37" s="189"/>
    </row>
    <row r="38" spans="1:118" ht="16.5" customHeight="1" x14ac:dyDescent="0.2">
      <c r="A38" s="62"/>
      <c r="B38" s="87"/>
      <c r="C38" s="31"/>
      <c r="D38" s="64"/>
      <c r="E38" s="68"/>
      <c r="F38" s="68"/>
      <c r="G38" s="68"/>
      <c r="H38" s="77"/>
      <c r="I38" s="43"/>
      <c r="J38" s="44"/>
      <c r="K38" s="123"/>
      <c r="L38" s="153"/>
      <c r="M38" s="129"/>
      <c r="N38" s="81"/>
      <c r="O38" s="89"/>
      <c r="P38" s="89"/>
      <c r="Q38" s="89"/>
      <c r="R38" s="89"/>
      <c r="S38" s="31"/>
      <c r="T38" s="31"/>
      <c r="U38" s="234"/>
      <c r="V38" s="234"/>
      <c r="W38" s="234"/>
      <c r="X38" s="234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89"/>
      <c r="DI38" s="189"/>
      <c r="DJ38" s="189"/>
      <c r="DK38" s="189"/>
      <c r="DL38" s="189"/>
      <c r="DM38" s="189"/>
      <c r="DN38" s="189"/>
    </row>
    <row r="39" spans="1:118" ht="16.5" customHeight="1" x14ac:dyDescent="0.2">
      <c r="A39" s="62"/>
      <c r="B39" s="87"/>
      <c r="C39" s="31"/>
      <c r="D39" s="64"/>
      <c r="E39" s="68"/>
      <c r="F39" s="68"/>
      <c r="G39" s="68"/>
      <c r="H39" s="77"/>
      <c r="I39" s="43"/>
      <c r="J39" s="44"/>
      <c r="K39" s="123"/>
      <c r="L39" s="153"/>
      <c r="M39" s="129"/>
      <c r="N39" s="81"/>
      <c r="O39" s="89"/>
      <c r="P39" s="89"/>
      <c r="Q39" s="89"/>
      <c r="R39" s="89"/>
      <c r="S39" s="31"/>
      <c r="T39" s="31"/>
      <c r="U39" s="234"/>
      <c r="V39" s="234"/>
      <c r="W39" s="234"/>
      <c r="X39" s="234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89"/>
      <c r="DI39" s="189"/>
      <c r="DJ39" s="189"/>
      <c r="DK39" s="189"/>
      <c r="DL39" s="189"/>
      <c r="DM39" s="189"/>
      <c r="DN39" s="189"/>
    </row>
    <row r="40" spans="1:118" ht="16.5" customHeight="1" x14ac:dyDescent="0.2">
      <c r="A40" s="62"/>
      <c r="B40" s="87"/>
      <c r="C40" s="31"/>
      <c r="D40" s="64"/>
      <c r="E40" s="68"/>
      <c r="F40" s="68"/>
      <c r="G40" s="68"/>
      <c r="H40" s="77"/>
      <c r="I40" s="43"/>
      <c r="J40" s="44"/>
      <c r="K40" s="123"/>
      <c r="L40" s="120"/>
      <c r="M40" s="129"/>
      <c r="N40" s="81"/>
      <c r="O40" s="89"/>
      <c r="P40" s="89"/>
      <c r="Q40" s="89"/>
      <c r="R40" s="89"/>
      <c r="S40" s="31"/>
      <c r="T40" s="31"/>
      <c r="U40" s="234"/>
      <c r="V40" s="234"/>
      <c r="W40" s="234"/>
      <c r="X40" s="234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89"/>
      <c r="DI40" s="189"/>
      <c r="DJ40" s="189"/>
      <c r="DK40" s="189"/>
      <c r="DL40" s="189"/>
      <c r="DM40" s="189"/>
      <c r="DN40" s="189"/>
    </row>
    <row r="41" spans="1:118" ht="16.5" customHeight="1" x14ac:dyDescent="0.2">
      <c r="A41" s="62"/>
      <c r="B41" s="87"/>
      <c r="C41" s="31"/>
      <c r="D41" s="64"/>
      <c r="E41" s="68"/>
      <c r="F41" s="68"/>
      <c r="G41" s="68"/>
      <c r="H41" s="41"/>
      <c r="I41" s="43"/>
      <c r="J41" s="44"/>
      <c r="K41" s="123"/>
      <c r="L41" s="120"/>
      <c r="M41" s="129"/>
      <c r="N41" s="81"/>
      <c r="O41" s="84"/>
      <c r="P41" s="84"/>
      <c r="Q41" s="84"/>
      <c r="R41" s="89"/>
      <c r="S41" s="31"/>
      <c r="T41" s="31"/>
      <c r="U41" s="234"/>
      <c r="V41" s="234"/>
      <c r="W41" s="234"/>
      <c r="X41" s="234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89"/>
      <c r="DI41" s="189"/>
      <c r="DJ41" s="189"/>
      <c r="DK41" s="189"/>
      <c r="DL41" s="189"/>
      <c r="DM41" s="189"/>
      <c r="DN41" s="189"/>
    </row>
    <row r="42" spans="1:118" ht="16.5" customHeight="1" x14ac:dyDescent="0.2">
      <c r="A42" s="62"/>
      <c r="B42" s="87"/>
      <c r="C42" s="31"/>
      <c r="D42" s="64"/>
      <c r="E42" s="68"/>
      <c r="F42" s="68"/>
      <c r="G42" s="68"/>
      <c r="H42" s="41"/>
      <c r="I42" s="43"/>
      <c r="J42" s="44"/>
      <c r="K42" s="123"/>
      <c r="L42" s="120"/>
      <c r="M42" s="129"/>
      <c r="N42" s="81"/>
      <c r="O42" s="84"/>
      <c r="P42" s="84"/>
      <c r="Q42" s="84"/>
      <c r="R42" s="89"/>
      <c r="S42" s="31"/>
      <c r="T42" s="31"/>
      <c r="U42" s="234"/>
      <c r="V42" s="234"/>
      <c r="W42" s="234"/>
      <c r="X42" s="234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241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89"/>
      <c r="DI42" s="189"/>
      <c r="DJ42" s="189"/>
      <c r="DK42" s="189"/>
      <c r="DL42" s="189"/>
      <c r="DM42" s="189"/>
      <c r="DN42" s="189"/>
    </row>
    <row r="43" spans="1:118" ht="16.5" customHeight="1" x14ac:dyDescent="0.2">
      <c r="A43" s="62"/>
      <c r="B43" s="87"/>
      <c r="C43" s="31"/>
      <c r="D43" s="64"/>
      <c r="E43" s="68"/>
      <c r="F43" s="68"/>
      <c r="G43" s="68"/>
      <c r="H43" s="41"/>
      <c r="I43" s="43"/>
      <c r="J43" s="44"/>
      <c r="K43" s="123"/>
      <c r="L43" s="120"/>
      <c r="M43" s="129"/>
      <c r="N43" s="81"/>
      <c r="O43" s="84"/>
      <c r="P43" s="84"/>
      <c r="Q43" s="84"/>
      <c r="R43" s="89"/>
      <c r="S43" s="31"/>
      <c r="T43" s="31"/>
      <c r="U43" s="234"/>
      <c r="V43" s="234"/>
      <c r="W43" s="234"/>
      <c r="X43" s="234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</row>
    <row r="44" spans="1:118" ht="16.5" customHeight="1" x14ac:dyDescent="0.2">
      <c r="A44" s="62"/>
      <c r="B44" s="87"/>
      <c r="C44" s="31"/>
      <c r="D44" s="64"/>
      <c r="E44" s="68"/>
      <c r="F44" s="68"/>
      <c r="G44" s="68"/>
      <c r="H44" s="41"/>
      <c r="I44" s="43"/>
      <c r="J44" s="44"/>
      <c r="K44" s="123"/>
      <c r="L44" s="120"/>
      <c r="M44" s="129"/>
      <c r="N44" s="81"/>
      <c r="O44" s="84"/>
      <c r="P44" s="84"/>
      <c r="Q44" s="84"/>
      <c r="R44" s="89"/>
      <c r="S44" s="31"/>
      <c r="T44" s="31"/>
      <c r="U44" s="234"/>
      <c r="V44" s="234"/>
      <c r="W44" s="234"/>
      <c r="X44" s="234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</row>
    <row r="45" spans="1:118" ht="16.5" customHeight="1" x14ac:dyDescent="0.2">
      <c r="A45" s="62"/>
      <c r="B45" s="88"/>
      <c r="C45" s="127"/>
      <c r="D45" s="69"/>
      <c r="E45" s="70"/>
      <c r="F45" s="70"/>
      <c r="G45" s="70"/>
      <c r="H45" s="42"/>
      <c r="I45" s="150"/>
      <c r="J45" s="151"/>
      <c r="K45" s="124"/>
      <c r="L45" s="121"/>
      <c r="M45" s="235"/>
      <c r="N45" s="236"/>
      <c r="O45" s="125"/>
      <c r="P45" s="125"/>
      <c r="Q45" s="125"/>
      <c r="R45" s="126"/>
      <c r="S45" s="127"/>
      <c r="T45" s="127"/>
      <c r="U45" s="234"/>
      <c r="V45" s="234"/>
      <c r="W45" s="234"/>
      <c r="X45" s="234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</row>
    <row r="46" spans="1:118" s="189" customFormat="1" ht="16.5" customHeight="1" x14ac:dyDescent="0.2">
      <c r="A46" s="62"/>
      <c r="B46" s="84">
        <v>0</v>
      </c>
      <c r="C46" s="89">
        <v>0</v>
      </c>
      <c r="D46" s="68">
        <v>0</v>
      </c>
      <c r="E46" s="68"/>
      <c r="F46" s="68"/>
      <c r="G46" s="68"/>
      <c r="H46" s="68"/>
      <c r="I46" s="152"/>
      <c r="J46" s="152"/>
      <c r="K46" s="203"/>
      <c r="L46" s="216"/>
      <c r="M46" s="89"/>
      <c r="N46" s="84"/>
      <c r="O46" s="84"/>
      <c r="P46" s="84"/>
      <c r="Q46" s="84"/>
      <c r="R46" s="89"/>
      <c r="S46" s="89"/>
      <c r="T46" s="89" t="s">
        <v>82</v>
      </c>
      <c r="U46" s="234">
        <v>0.5121573514930936</v>
      </c>
      <c r="V46" s="234"/>
      <c r="W46" s="234">
        <v>7.1055383288180414</v>
      </c>
      <c r="X46" s="234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</row>
    <row r="47" spans="1:118" s="19" customFormat="1" ht="16.5" customHeight="1" x14ac:dyDescent="0.2">
      <c r="A47" s="16"/>
      <c r="B47" s="45"/>
      <c r="C47" s="45">
        <v>0</v>
      </c>
      <c r="D47" s="45">
        <v>0</v>
      </c>
      <c r="E47" s="45" t="s">
        <v>10</v>
      </c>
      <c r="F47" s="45" t="s">
        <v>10</v>
      </c>
      <c r="G47" s="45" t="s">
        <v>10</v>
      </c>
      <c r="H47" s="45" t="s">
        <v>10</v>
      </c>
      <c r="I47" s="57" t="s">
        <v>10</v>
      </c>
      <c r="J47" s="57" t="s">
        <v>10</v>
      </c>
      <c r="K47" s="58" t="s">
        <v>10</v>
      </c>
      <c r="L47" s="58"/>
      <c r="M47" s="58" t="s">
        <v>10</v>
      </c>
      <c r="N47" s="58" t="s">
        <v>10</v>
      </c>
      <c r="O47" s="58" t="s">
        <v>10</v>
      </c>
      <c r="P47" s="58" t="s">
        <v>10</v>
      </c>
      <c r="Q47" s="58" t="s">
        <v>10</v>
      </c>
      <c r="R47" s="58" t="s">
        <v>10</v>
      </c>
      <c r="S47" s="58" t="s">
        <v>10</v>
      </c>
      <c r="T47" s="58" t="s">
        <v>10</v>
      </c>
    </row>
    <row r="48" spans="1:118" ht="16.5" customHeight="1" x14ac:dyDescent="0.25">
      <c r="A48" s="17"/>
      <c r="B48" s="12" t="s">
        <v>10</v>
      </c>
      <c r="C48" s="50">
        <v>1</v>
      </c>
      <c r="D48" s="51">
        <v>0</v>
      </c>
      <c r="E48" s="52" t="s">
        <v>10</v>
      </c>
      <c r="F48" s="52" t="s">
        <v>10</v>
      </c>
      <c r="G48" s="52" t="s">
        <v>10</v>
      </c>
      <c r="H48" s="52" t="s">
        <v>10</v>
      </c>
      <c r="I48" s="52" t="s">
        <v>10</v>
      </c>
      <c r="J48" s="52" t="s">
        <v>10</v>
      </c>
      <c r="K48" s="52" t="s">
        <v>10</v>
      </c>
      <c r="L48" s="52" t="s">
        <v>10</v>
      </c>
      <c r="M48" s="52" t="s">
        <v>10</v>
      </c>
      <c r="N48" s="52" t="s">
        <v>10</v>
      </c>
      <c r="O48" s="52" t="s">
        <v>10</v>
      </c>
      <c r="P48" s="52" t="s">
        <v>10</v>
      </c>
      <c r="Q48" s="52" t="s">
        <v>10</v>
      </c>
      <c r="R48" s="52" t="s">
        <v>10</v>
      </c>
      <c r="S48" s="52" t="s">
        <v>10</v>
      </c>
      <c r="T48" s="52" t="s">
        <v>10</v>
      </c>
      <c r="U48" s="52" t="s">
        <v>10</v>
      </c>
      <c r="V48" s="52" t="s">
        <v>10</v>
      </c>
      <c r="W48" s="52" t="s">
        <v>10</v>
      </c>
      <c r="X48" s="52" t="s">
        <v>10</v>
      </c>
      <c r="Y48" s="52" t="s">
        <v>10</v>
      </c>
      <c r="Z48" s="52" t="s">
        <v>10</v>
      </c>
      <c r="AA48" s="52" t="s">
        <v>10</v>
      </c>
      <c r="AB48" s="52" t="s">
        <v>10</v>
      </c>
      <c r="AC48" s="52" t="s">
        <v>10</v>
      </c>
      <c r="AD48" s="52" t="s">
        <v>10</v>
      </c>
      <c r="AE48" s="52" t="s">
        <v>10</v>
      </c>
      <c r="AF48" s="52" t="s">
        <v>10</v>
      </c>
      <c r="AG48" s="52" t="s">
        <v>10</v>
      </c>
      <c r="AH48" s="52" t="s">
        <v>10</v>
      </c>
      <c r="AI48" s="52" t="s">
        <v>10</v>
      </c>
      <c r="AJ48" s="52" t="s">
        <v>10</v>
      </c>
      <c r="AK48" s="52" t="s">
        <v>10</v>
      </c>
      <c r="AL48" s="52" t="s">
        <v>10</v>
      </c>
      <c r="AM48" s="52" t="s">
        <v>10</v>
      </c>
      <c r="AN48" s="52" t="s">
        <v>10</v>
      </c>
      <c r="AO48" s="52" t="s">
        <v>10</v>
      </c>
      <c r="AP48" s="52" t="s">
        <v>10</v>
      </c>
      <c r="AQ48" s="52" t="s">
        <v>10</v>
      </c>
      <c r="BI48" s="189"/>
      <c r="BJ48" s="189"/>
      <c r="BK48" s="189"/>
      <c r="BL48" s="189"/>
      <c r="BM48" s="189"/>
      <c r="BN48" s="189"/>
      <c r="BO48" s="189"/>
      <c r="BP48" s="189"/>
    </row>
    <row r="49" spans="1:68" ht="16.5" customHeight="1" x14ac:dyDescent="0.25">
      <c r="A49" s="46" t="s">
        <v>30</v>
      </c>
      <c r="B49" s="226"/>
      <c r="C49" s="39" t="s">
        <v>10</v>
      </c>
      <c r="D49" s="53" t="s">
        <v>10</v>
      </c>
      <c r="E49" s="53" t="s">
        <v>10</v>
      </c>
      <c r="F49" s="53" t="s">
        <v>10</v>
      </c>
      <c r="G49" s="53" t="s">
        <v>10</v>
      </c>
      <c r="H49" s="53" t="s">
        <v>10</v>
      </c>
      <c r="I49" s="53" t="s">
        <v>10</v>
      </c>
      <c r="J49" s="53" t="s">
        <v>10</v>
      </c>
      <c r="K49" s="53" t="s">
        <v>10</v>
      </c>
      <c r="L49" s="53" t="s">
        <v>10</v>
      </c>
      <c r="M49" s="53" t="s">
        <v>10</v>
      </c>
      <c r="N49" s="53" t="s">
        <v>10</v>
      </c>
      <c r="O49" s="53" t="s">
        <v>10</v>
      </c>
      <c r="P49" s="40" t="s">
        <v>10</v>
      </c>
      <c r="Q49" s="40" t="s">
        <v>10</v>
      </c>
      <c r="R49" s="40" t="s">
        <v>10</v>
      </c>
      <c r="S49" s="40" t="s">
        <v>10</v>
      </c>
      <c r="T49" s="40" t="s">
        <v>10</v>
      </c>
      <c r="U49" s="40" t="s">
        <v>10</v>
      </c>
      <c r="V49" s="40" t="s">
        <v>10</v>
      </c>
      <c r="W49" s="40" t="s">
        <v>10</v>
      </c>
      <c r="X49" s="40" t="s">
        <v>10</v>
      </c>
      <c r="Y49" s="40" t="s">
        <v>10</v>
      </c>
      <c r="Z49" s="40" t="s">
        <v>10</v>
      </c>
      <c r="AA49" s="40" t="s">
        <v>10</v>
      </c>
      <c r="AB49" s="40" t="s">
        <v>10</v>
      </c>
      <c r="AC49" s="40" t="s">
        <v>10</v>
      </c>
      <c r="AD49" s="40" t="s">
        <v>10</v>
      </c>
      <c r="AE49" s="40" t="s">
        <v>10</v>
      </c>
      <c r="AF49" s="40" t="s">
        <v>10</v>
      </c>
      <c r="AG49" s="40" t="s">
        <v>10</v>
      </c>
      <c r="AH49" s="40" t="s">
        <v>10</v>
      </c>
      <c r="AI49" s="40" t="s">
        <v>10</v>
      </c>
      <c r="AJ49" s="40" t="s">
        <v>10</v>
      </c>
      <c r="AK49" s="40" t="s">
        <v>10</v>
      </c>
      <c r="AL49" s="40" t="s">
        <v>10</v>
      </c>
      <c r="AM49" s="40" t="s">
        <v>10</v>
      </c>
      <c r="AN49" s="40" t="s">
        <v>10</v>
      </c>
      <c r="AO49" s="40" t="s">
        <v>10</v>
      </c>
      <c r="AP49" s="40" t="s">
        <v>10</v>
      </c>
      <c r="AQ49" s="40" t="s">
        <v>10</v>
      </c>
      <c r="BI49" s="189"/>
      <c r="BJ49" s="189"/>
      <c r="BK49" s="189"/>
      <c r="BL49" s="189"/>
      <c r="BM49" s="189"/>
      <c r="BN49" s="189"/>
      <c r="BO49" s="189"/>
      <c r="BP49" s="189"/>
    </row>
    <row r="50" spans="1:68" ht="16.5" customHeight="1" x14ac:dyDescent="0.25">
      <c r="A50" s="46"/>
      <c r="B50" s="47"/>
      <c r="C50" s="54">
        <v>1</v>
      </c>
      <c r="D50" s="55">
        <v>2</v>
      </c>
      <c r="E50" s="55" t="s">
        <v>226</v>
      </c>
      <c r="F50" s="55"/>
      <c r="G50" s="55"/>
      <c r="H50" s="55" t="s">
        <v>234</v>
      </c>
      <c r="I50" s="55"/>
      <c r="J50" s="55"/>
      <c r="K50" s="55"/>
      <c r="L50" s="55"/>
      <c r="M50" s="55"/>
      <c r="N50" s="55"/>
      <c r="O50" s="55"/>
      <c r="P50" s="155"/>
      <c r="Q50" s="155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BI50" s="189"/>
      <c r="BJ50" s="189"/>
      <c r="BK50" s="189"/>
      <c r="BL50" s="189"/>
      <c r="BM50" s="189"/>
      <c r="BN50" s="189"/>
      <c r="BO50" s="189"/>
      <c r="BP50" s="189"/>
    </row>
    <row r="51" spans="1:68" ht="16.5" customHeight="1" x14ac:dyDescent="0.2">
      <c r="A51" s="48" t="s">
        <v>237</v>
      </c>
      <c r="B51" s="49">
        <v>1</v>
      </c>
      <c r="C51" s="128"/>
      <c r="D51" s="82"/>
      <c r="E51" s="82"/>
      <c r="F51" s="82"/>
      <c r="G51" s="82"/>
      <c r="H51" s="83"/>
      <c r="I51" s="83"/>
      <c r="J51" s="83"/>
      <c r="K51" s="83"/>
      <c r="L51" s="156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BI51" s="189"/>
      <c r="BJ51" s="189"/>
      <c r="BK51" s="189"/>
      <c r="BL51" s="189"/>
      <c r="BM51" s="189"/>
      <c r="BN51" s="189"/>
      <c r="BO51" s="189"/>
      <c r="BP51" s="189"/>
    </row>
    <row r="52" spans="1:68" ht="16.5" customHeight="1" x14ac:dyDescent="0.2">
      <c r="A52" s="48" t="s">
        <v>238</v>
      </c>
      <c r="B52" s="49">
        <v>2</v>
      </c>
      <c r="C52" s="82">
        <v>-0.3</v>
      </c>
      <c r="D52" s="128"/>
      <c r="E52" s="82"/>
      <c r="F52" s="82"/>
      <c r="G52" s="83"/>
      <c r="H52" s="83"/>
      <c r="I52" s="83"/>
      <c r="J52" s="83"/>
      <c r="K52" s="83"/>
      <c r="L52" s="83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BI52" s="189"/>
      <c r="BJ52" s="189"/>
      <c r="BK52" s="189"/>
      <c r="BL52" s="189"/>
      <c r="BM52" s="189"/>
      <c r="BN52" s="189"/>
      <c r="BO52" s="189"/>
      <c r="BP52" s="189"/>
    </row>
    <row r="53" spans="1:68" ht="16.5" customHeight="1" x14ac:dyDescent="0.2">
      <c r="A53" s="48"/>
      <c r="B53" s="49" t="s">
        <v>225</v>
      </c>
      <c r="C53" s="82"/>
      <c r="D53" s="82"/>
      <c r="E53" s="128"/>
      <c r="F53" s="82"/>
      <c r="G53" s="82"/>
      <c r="H53" s="83"/>
      <c r="I53" s="83"/>
      <c r="J53" s="83"/>
      <c r="K53" s="83"/>
      <c r="L53" s="83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BI53" s="189"/>
      <c r="BJ53" s="189"/>
      <c r="BK53" s="189"/>
      <c r="BL53" s="189"/>
      <c r="BM53" s="189"/>
      <c r="BN53" s="189"/>
      <c r="BO53" s="189"/>
      <c r="BP53" s="189"/>
    </row>
    <row r="54" spans="1:68" ht="16.5" customHeight="1" x14ac:dyDescent="0.2">
      <c r="A54" s="48"/>
      <c r="B54" s="49"/>
      <c r="C54" s="82"/>
      <c r="D54" s="82"/>
      <c r="E54" s="82"/>
      <c r="F54" s="128"/>
      <c r="G54" s="83"/>
      <c r="H54" s="83"/>
      <c r="I54" s="83"/>
      <c r="J54" s="83"/>
      <c r="K54" s="83"/>
      <c r="L54" s="83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</row>
    <row r="55" spans="1:68" ht="16.5" customHeight="1" x14ac:dyDescent="0.2">
      <c r="A55" s="48"/>
      <c r="B55" s="49"/>
      <c r="C55" s="82"/>
      <c r="D55" s="82"/>
      <c r="E55" s="82"/>
      <c r="F55" s="82"/>
      <c r="G55" s="128"/>
      <c r="H55" s="83"/>
      <c r="I55" s="83"/>
      <c r="J55" s="83"/>
      <c r="K55" s="83"/>
      <c r="L55" s="83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</row>
    <row r="56" spans="1:68" ht="16.5" customHeight="1" x14ac:dyDescent="0.2">
      <c r="A56" s="48"/>
      <c r="B56" s="49"/>
      <c r="C56" s="129"/>
      <c r="D56" s="83"/>
      <c r="E56" s="83"/>
      <c r="F56" s="83"/>
      <c r="G56" s="83"/>
      <c r="H56" s="128"/>
      <c r="I56" s="83"/>
      <c r="J56" s="83"/>
      <c r="K56" s="83"/>
      <c r="L56" s="83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</row>
    <row r="57" spans="1:68" ht="16.5" customHeight="1" x14ac:dyDescent="0.2">
      <c r="A57" s="48"/>
      <c r="B57" s="49"/>
      <c r="C57" s="129"/>
      <c r="D57" s="83"/>
      <c r="E57" s="83"/>
      <c r="F57" s="83"/>
      <c r="G57" s="83"/>
      <c r="H57" s="83"/>
      <c r="I57" s="128"/>
      <c r="J57" s="83"/>
      <c r="K57" s="83"/>
      <c r="L57" s="83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</row>
    <row r="58" spans="1:68" ht="16.5" customHeight="1" x14ac:dyDescent="0.2">
      <c r="A58" s="48"/>
      <c r="B58" s="49"/>
      <c r="C58" s="129"/>
      <c r="D58" s="83"/>
      <c r="E58" s="83"/>
      <c r="F58" s="83"/>
      <c r="G58" s="83"/>
      <c r="H58" s="83"/>
      <c r="I58" s="83"/>
      <c r="J58" s="128"/>
      <c r="K58" s="83"/>
      <c r="L58" s="83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</row>
    <row r="59" spans="1:68" ht="16.5" customHeight="1" x14ac:dyDescent="0.2">
      <c r="A59" s="48" t="s">
        <v>227</v>
      </c>
      <c r="B59" s="49"/>
      <c r="C59" s="129"/>
      <c r="D59" s="83"/>
      <c r="E59" s="83"/>
      <c r="F59" s="83"/>
      <c r="G59" s="83"/>
      <c r="H59" s="83"/>
      <c r="I59" s="83"/>
      <c r="J59" s="83"/>
      <c r="K59" s="128"/>
      <c r="L59" s="83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</row>
    <row r="60" spans="1:68" ht="16.5" customHeight="1" x14ac:dyDescent="0.2">
      <c r="A60" s="48" t="s">
        <v>232</v>
      </c>
      <c r="B60" s="49"/>
      <c r="C60" s="129"/>
      <c r="D60" s="83"/>
      <c r="E60" s="83"/>
      <c r="F60" s="83"/>
      <c r="G60" s="83"/>
      <c r="H60" s="83"/>
      <c r="I60" s="83"/>
      <c r="J60" s="83"/>
      <c r="K60" s="83"/>
      <c r="L60" s="154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</row>
    <row r="61" spans="1:68" ht="16.5" customHeight="1" x14ac:dyDescent="0.2">
      <c r="A61" s="48"/>
      <c r="B61" s="49"/>
      <c r="C61" s="66"/>
      <c r="D61" s="67"/>
      <c r="E61" s="67"/>
      <c r="F61" s="67"/>
      <c r="G61" s="67"/>
      <c r="H61" s="67"/>
      <c r="I61" s="67"/>
      <c r="J61" s="67"/>
      <c r="K61" s="67"/>
      <c r="L61" s="67"/>
      <c r="M61" s="154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</row>
    <row r="62" spans="1:68" ht="16.5" customHeight="1" x14ac:dyDescent="0.2">
      <c r="A62" s="48"/>
      <c r="B62" s="49"/>
      <c r="C62" s="66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154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</row>
    <row r="63" spans="1:68" ht="16.5" customHeight="1" x14ac:dyDescent="0.2">
      <c r="A63" s="48"/>
      <c r="B63" s="49"/>
      <c r="C63" s="66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154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</row>
    <row r="64" spans="1:68" ht="16.5" customHeight="1" x14ac:dyDescent="0.2">
      <c r="A64" s="48"/>
      <c r="B64" s="49"/>
      <c r="C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54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</row>
    <row r="65" spans="1:43" ht="16.5" customHeight="1" x14ac:dyDescent="0.2">
      <c r="A65" s="48"/>
      <c r="B65" s="49"/>
      <c r="C65" s="66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154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</row>
    <row r="66" spans="1:43" ht="16.5" customHeight="1" x14ac:dyDescent="0.2">
      <c r="A66" s="48"/>
      <c r="B66" s="49"/>
      <c r="C66" s="66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154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</row>
    <row r="67" spans="1:43" ht="16.5" customHeight="1" x14ac:dyDescent="0.2">
      <c r="A67" s="48"/>
      <c r="B67" s="49"/>
      <c r="C67" s="66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154"/>
      <c r="T67" s="154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</row>
    <row r="68" spans="1:43" ht="16.5" customHeight="1" x14ac:dyDescent="0.2">
      <c r="A68" s="48"/>
      <c r="B68" s="49"/>
      <c r="C68" s="66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</row>
    <row r="69" spans="1:43" ht="16.5" customHeight="1" x14ac:dyDescent="0.2">
      <c r="A69" s="48"/>
      <c r="B69" s="49"/>
      <c r="C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154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</row>
    <row r="70" spans="1:43" ht="16.5" customHeight="1" x14ac:dyDescent="0.2">
      <c r="A70" s="48"/>
      <c r="B70" s="49"/>
      <c r="C70" s="66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154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</row>
    <row r="71" spans="1:43" ht="16.5" customHeight="1" x14ac:dyDescent="0.2">
      <c r="A71" s="48"/>
      <c r="B71" s="49"/>
      <c r="C71" s="66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154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</row>
    <row r="72" spans="1:43" ht="16.5" customHeight="1" x14ac:dyDescent="0.2">
      <c r="A72" s="48"/>
      <c r="B72" s="49"/>
      <c r="C72" s="66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154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</row>
    <row r="73" spans="1:43" ht="16.5" customHeight="1" x14ac:dyDescent="0.2">
      <c r="A73" s="48"/>
      <c r="B73" s="49"/>
      <c r="C73" s="66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154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</row>
    <row r="74" spans="1:43" ht="16.5" customHeight="1" x14ac:dyDescent="0.2">
      <c r="A74" s="48"/>
      <c r="B74" s="49"/>
      <c r="C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154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</row>
    <row r="75" spans="1:43" ht="16.5" customHeight="1" x14ac:dyDescent="0.2">
      <c r="A75" s="48"/>
      <c r="B75" s="49"/>
      <c r="C75" s="66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154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</row>
    <row r="76" spans="1:43" ht="16.5" customHeight="1" x14ac:dyDescent="0.2">
      <c r="A76" s="48"/>
      <c r="B76" s="49"/>
      <c r="C76" s="66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154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</row>
    <row r="77" spans="1:43" ht="16.5" customHeight="1" x14ac:dyDescent="0.2">
      <c r="A77" s="48"/>
      <c r="B77" s="49"/>
      <c r="C77" s="66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154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</row>
    <row r="78" spans="1:43" ht="16.5" customHeight="1" x14ac:dyDescent="0.2">
      <c r="A78" s="48"/>
      <c r="B78" s="49"/>
      <c r="C78" s="66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154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</row>
    <row r="79" spans="1:43" ht="16.5" customHeight="1" x14ac:dyDescent="0.2">
      <c r="A79" s="48"/>
      <c r="B79" s="49"/>
      <c r="C79" s="66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154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</row>
    <row r="80" spans="1:43" ht="16.5" customHeight="1" x14ac:dyDescent="0.2">
      <c r="A80" s="48"/>
      <c r="B80" s="49"/>
      <c r="C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154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/>
    </row>
    <row r="81" spans="1:43" ht="16.5" customHeight="1" x14ac:dyDescent="0.2">
      <c r="A81" s="48"/>
      <c r="B81" s="49"/>
      <c r="C81" s="66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154"/>
      <c r="AH81" s="67"/>
      <c r="AI81" s="67"/>
      <c r="AJ81" s="67"/>
      <c r="AK81" s="67"/>
      <c r="AL81" s="67"/>
      <c r="AM81" s="67"/>
      <c r="AN81" s="67"/>
      <c r="AO81" s="67"/>
      <c r="AP81" s="67"/>
      <c r="AQ81" s="67"/>
    </row>
    <row r="82" spans="1:43" ht="16.5" customHeight="1" x14ac:dyDescent="0.2">
      <c r="A82" s="48"/>
      <c r="B82" s="49"/>
      <c r="C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154"/>
      <c r="AI82" s="67"/>
      <c r="AJ82" s="67"/>
      <c r="AK82" s="67"/>
      <c r="AL82" s="67"/>
      <c r="AM82" s="67"/>
      <c r="AN82" s="67"/>
      <c r="AO82" s="67"/>
      <c r="AP82" s="67"/>
      <c r="AQ82" s="67"/>
    </row>
    <row r="83" spans="1:43" ht="16.5" customHeight="1" x14ac:dyDescent="0.2">
      <c r="A83" s="48"/>
      <c r="B83" s="49"/>
      <c r="C83" s="66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154"/>
      <c r="AJ83" s="67"/>
      <c r="AK83" s="67"/>
      <c r="AL83" s="67"/>
      <c r="AM83" s="67"/>
      <c r="AN83" s="67"/>
      <c r="AO83" s="67"/>
      <c r="AP83" s="67"/>
      <c r="AQ83" s="67"/>
    </row>
    <row r="84" spans="1:43" ht="16.5" customHeight="1" x14ac:dyDescent="0.2">
      <c r="A84" s="48"/>
      <c r="B84" s="49"/>
      <c r="C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154"/>
      <c r="AK84" s="67"/>
      <c r="AL84" s="67"/>
      <c r="AM84" s="67"/>
      <c r="AN84" s="67"/>
      <c r="AO84" s="67"/>
      <c r="AP84" s="67"/>
      <c r="AQ84" s="67"/>
    </row>
    <row r="85" spans="1:43" ht="16.5" customHeight="1" x14ac:dyDescent="0.2">
      <c r="A85" s="48"/>
      <c r="B85" s="49"/>
      <c r="C85" s="66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154"/>
      <c r="AL85" s="67"/>
      <c r="AM85" s="67"/>
      <c r="AN85" s="67"/>
      <c r="AO85" s="67"/>
      <c r="AP85" s="67"/>
      <c r="AQ85" s="67"/>
    </row>
    <row r="86" spans="1:43" ht="16.5" customHeight="1" x14ac:dyDescent="0.2">
      <c r="A86" s="48"/>
      <c r="B86" s="49"/>
      <c r="C86" s="32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154"/>
      <c r="AM86" s="30"/>
      <c r="AN86" s="30"/>
      <c r="AO86" s="30"/>
      <c r="AP86" s="30"/>
      <c r="AQ86" s="30"/>
    </row>
    <row r="87" spans="1:43" ht="16.5" customHeight="1" x14ac:dyDescent="0.2">
      <c r="A87" s="48"/>
      <c r="B87" s="49"/>
      <c r="C87" s="32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154"/>
      <c r="AN87" s="30"/>
      <c r="AO87" s="30"/>
      <c r="AP87" s="30"/>
      <c r="AQ87" s="30"/>
    </row>
    <row r="88" spans="1:43" ht="16.5" customHeight="1" x14ac:dyDescent="0.2">
      <c r="A88" s="48"/>
      <c r="B88" s="49"/>
      <c r="C88" s="32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154"/>
      <c r="AO88" s="30"/>
      <c r="AP88" s="30"/>
      <c r="AQ88" s="30"/>
    </row>
    <row r="89" spans="1:43" ht="16.5" customHeight="1" x14ac:dyDescent="0.2">
      <c r="A89" s="48"/>
      <c r="B89" s="49"/>
      <c r="C89" s="32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154"/>
      <c r="AP89" s="30"/>
      <c r="AQ89" s="30"/>
    </row>
    <row r="90" spans="1:43" ht="16.5" customHeight="1" x14ac:dyDescent="0.2">
      <c r="A90" s="48"/>
      <c r="B90" s="49"/>
      <c r="C90" s="32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154"/>
      <c r="AQ90" s="30"/>
    </row>
    <row r="91" spans="1:43" ht="16.5" customHeight="1" x14ac:dyDescent="0.2">
      <c r="A91" s="48"/>
      <c r="B91" s="49"/>
      <c r="C91" s="33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154"/>
    </row>
    <row r="92" spans="1:43" s="19" customFormat="1" ht="16.5" customHeight="1" x14ac:dyDescent="0.2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60"/>
      <c r="N92" s="60"/>
      <c r="O92" s="60"/>
      <c r="P92" s="60"/>
      <c r="Q92" s="60"/>
      <c r="R92" s="60"/>
    </row>
    <row r="93" spans="1:43" ht="16.5" customHeight="1" x14ac:dyDescent="0.2">
      <c r="A93" s="17"/>
      <c r="B93" s="17"/>
      <c r="C93" s="12"/>
      <c r="D93" s="12"/>
      <c r="E93" s="12"/>
      <c r="F93" s="12"/>
      <c r="G93" s="12"/>
      <c r="H93" s="12"/>
      <c r="I93" s="12"/>
      <c r="J93" s="12"/>
      <c r="K93" s="12" t="s">
        <v>10</v>
      </c>
      <c r="L93" s="12" t="s">
        <v>10</v>
      </c>
      <c r="M93" s="12" t="s">
        <v>10</v>
      </c>
      <c r="N93" s="12" t="s">
        <v>10</v>
      </c>
      <c r="O93" s="12"/>
      <c r="P93" s="12"/>
      <c r="Q93" s="12"/>
      <c r="R93" s="12"/>
    </row>
    <row r="94" spans="1:43" ht="16.5" customHeight="1" x14ac:dyDescent="0.2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43" ht="16.5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</row>
    <row r="96" spans="1:43" ht="16.5" customHeight="1" x14ac:dyDescent="0.2">
      <c r="A96" s="7"/>
      <c r="B96" s="10"/>
      <c r="C96" s="10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</row>
    <row r="97" spans="1:20" ht="16.5" customHeight="1" x14ac:dyDescent="0.2">
      <c r="A97" s="225" t="s">
        <v>143</v>
      </c>
      <c r="B97" s="10"/>
      <c r="C97" s="10">
        <v>2</v>
      </c>
      <c r="D97" s="7"/>
      <c r="E97" s="7"/>
      <c r="F97" s="61"/>
      <c r="G97" s="7"/>
      <c r="H97" s="7"/>
      <c r="I97" s="7"/>
      <c r="J97" s="7"/>
      <c r="K97" s="7"/>
      <c r="L97" s="7"/>
      <c r="M97" s="7"/>
      <c r="N97" s="7"/>
      <c r="O97" s="7"/>
      <c r="P97" s="61"/>
      <c r="Q97" s="7"/>
      <c r="R97" s="7"/>
    </row>
    <row r="98" spans="1:20" ht="16.5" customHeight="1" x14ac:dyDescent="0.2">
      <c r="A98" s="7" t="s">
        <v>10</v>
      </c>
      <c r="B98" s="10"/>
      <c r="C98" s="10"/>
      <c r="D98" s="7"/>
      <c r="E98" s="7"/>
      <c r="F98" s="7"/>
      <c r="G98" s="7"/>
      <c r="H98" s="7"/>
      <c r="I98" s="7"/>
      <c r="J98" s="7" t="s">
        <v>10</v>
      </c>
      <c r="K98" s="7" t="s">
        <v>10</v>
      </c>
      <c r="L98" s="7" t="s">
        <v>10</v>
      </c>
      <c r="M98" s="7" t="s">
        <v>10</v>
      </c>
      <c r="N98" s="7" t="s">
        <v>10</v>
      </c>
      <c r="O98" s="7" t="s">
        <v>10</v>
      </c>
      <c r="P98" s="7" t="s">
        <v>10</v>
      </c>
      <c r="Q98" s="7" t="s">
        <v>10</v>
      </c>
      <c r="R98" s="7" t="s">
        <v>10</v>
      </c>
    </row>
    <row r="99" spans="1:20" ht="16.5" customHeight="1" x14ac:dyDescent="0.2">
      <c r="A99" s="7" t="s">
        <v>10</v>
      </c>
      <c r="B99" s="10"/>
      <c r="C99" s="10"/>
      <c r="D99" s="7" t="s">
        <v>10</v>
      </c>
      <c r="E99" s="7" t="s">
        <v>10</v>
      </c>
      <c r="F99" s="7" t="s">
        <v>10</v>
      </c>
      <c r="G99" s="7" t="s">
        <v>10</v>
      </c>
      <c r="H99" s="7" t="s">
        <v>10</v>
      </c>
      <c r="I99" s="7" t="s">
        <v>10</v>
      </c>
      <c r="J99" s="7" t="s">
        <v>10</v>
      </c>
      <c r="K99" s="7" t="s">
        <v>10</v>
      </c>
      <c r="L99" s="7" t="s">
        <v>10</v>
      </c>
      <c r="M99" s="7" t="s">
        <v>10</v>
      </c>
      <c r="N99" s="7" t="s">
        <v>10</v>
      </c>
      <c r="O99" s="7" t="s">
        <v>10</v>
      </c>
      <c r="P99" s="7" t="s">
        <v>10</v>
      </c>
      <c r="Q99" s="7" t="s">
        <v>10</v>
      </c>
      <c r="R99" s="7" t="s">
        <v>10</v>
      </c>
    </row>
    <row r="100" spans="1:20" ht="16.5" customHeight="1" x14ac:dyDescent="0.2">
      <c r="A100" s="227" t="s">
        <v>144</v>
      </c>
      <c r="B100" s="7"/>
      <c r="C100" s="61"/>
      <c r="D100" s="7"/>
      <c r="E100" s="7"/>
      <c r="F100" s="7"/>
      <c r="G100" s="7" t="s">
        <v>233</v>
      </c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</row>
    <row r="101" spans="1:20" ht="16.5" customHeight="1" x14ac:dyDescent="0.2">
      <c r="A101" s="7">
        <v>0.29999999999999993</v>
      </c>
      <c r="B101" s="7">
        <v>-5.1961524227066312E-2</v>
      </c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</row>
    <row r="102" spans="1:20" ht="16.5" customHeight="1" x14ac:dyDescent="0.2">
      <c r="A102" s="7">
        <v>-0.3</v>
      </c>
      <c r="B102" s="7">
        <v>0.1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</row>
    <row r="103" spans="1:20" ht="16.5" customHeight="1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</row>
    <row r="104" spans="1:20" ht="16.5" customHeight="1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</row>
    <row r="105" spans="1:20" ht="16.5" customHeight="1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</row>
    <row r="106" spans="1:20" ht="16.5" customHeight="1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  <row r="107" spans="1:20" ht="16.5" customHeight="1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</row>
    <row r="108" spans="1:20" ht="16.5" customHeight="1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</row>
    <row r="109" spans="1:20" ht="16.5" customHeight="1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</row>
    <row r="110" spans="1:20" ht="16.5" customHeight="1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</row>
    <row r="111" spans="1:20" ht="16.5" customHeight="1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</row>
    <row r="112" spans="1:20" ht="16.5" customHeight="1" x14ac:dyDescent="0.2">
      <c r="A112" s="7"/>
      <c r="B112" s="1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</row>
    <row r="113" spans="1:18" ht="16.5" customHeight="1" x14ac:dyDescent="0.2">
      <c r="A113" s="7"/>
      <c r="B113" s="1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</row>
    <row r="114" spans="1:18" ht="16.5" customHeight="1" x14ac:dyDescent="0.2">
      <c r="A114" s="7"/>
      <c r="B114" s="1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</row>
    <row r="115" spans="1:18" ht="16.5" customHeight="1" x14ac:dyDescent="0.2">
      <c r="A115" s="7"/>
      <c r="B115" s="1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</row>
    <row r="116" spans="1:18" ht="16.5" customHeight="1" x14ac:dyDescent="0.2">
      <c r="A116" s="7"/>
      <c r="B116" s="1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</row>
    <row r="117" spans="1:18" ht="16.5" customHeight="1" x14ac:dyDescent="0.2">
      <c r="A117" s="7"/>
      <c r="B117" s="1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</row>
    <row r="118" spans="1:18" ht="16.5" customHeight="1" x14ac:dyDescent="0.2">
      <c r="A118" s="7"/>
      <c r="B118" s="1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</row>
    <row r="119" spans="1:18" ht="16.5" customHeight="1" x14ac:dyDescent="0.2">
      <c r="A119" s="7"/>
      <c r="B119" s="1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</row>
    <row r="120" spans="1:18" ht="16.5" customHeight="1" x14ac:dyDescent="0.2">
      <c r="A120" s="7"/>
      <c r="B120" s="1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</row>
    <row r="121" spans="1:18" ht="16.5" customHeight="1" x14ac:dyDescent="0.2">
      <c r="A121" s="7"/>
      <c r="B121" s="1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</row>
    <row r="122" spans="1:18" ht="16.5" customHeight="1" x14ac:dyDescent="0.2">
      <c r="A122" s="7"/>
      <c r="B122" s="1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</row>
    <row r="123" spans="1:18" ht="16.5" customHeight="1" x14ac:dyDescent="0.2">
      <c r="A123" s="7"/>
      <c r="B123" s="1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</row>
    <row r="124" spans="1:18" ht="16.5" customHeight="1" x14ac:dyDescent="0.2">
      <c r="A124" s="7"/>
      <c r="B124" s="1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</row>
    <row r="125" spans="1:18" ht="16.5" customHeight="1" x14ac:dyDescent="0.2">
      <c r="A125" s="7"/>
      <c r="B125" s="1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</row>
    <row r="126" spans="1:18" ht="16.5" customHeight="1" x14ac:dyDescent="0.2">
      <c r="A126" s="7"/>
      <c r="B126" s="1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</row>
    <row r="127" spans="1:18" ht="16.5" customHeight="1" x14ac:dyDescent="0.2">
      <c r="A127" s="7"/>
      <c r="B127" s="1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</row>
    <row r="128" spans="1:18" ht="16.5" customHeight="1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</row>
    <row r="129" spans="1:18" ht="16.5" customHeight="1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1:18" ht="16.5" customHeight="1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1:18" ht="16.5" customHeight="1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1:18" ht="16.5" customHeight="1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1:18" ht="16.5" customHeight="1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1:18" ht="16.5" customHeight="1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1:18" ht="16.5" customHeight="1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1:18" ht="16.5" customHeight="1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1:18" ht="16.5" customHeight="1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1:18" ht="16.5" customHeight="1" x14ac:dyDescent="0.2">
      <c r="A138" s="9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1:18" ht="16.5" customHeight="1" x14ac:dyDescent="0.2">
      <c r="A139" s="9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1:18" ht="16.5" customHeight="1" x14ac:dyDescent="0.2">
      <c r="A140" s="9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1:18" ht="16.5" customHeight="1" x14ac:dyDescent="0.2">
      <c r="A141" s="9"/>
      <c r="B141" s="9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1:18" ht="16.5" customHeight="1" x14ac:dyDescent="0.2">
      <c r="A142" s="9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1:18" ht="16.5" customHeight="1" x14ac:dyDescent="0.2">
      <c r="A143" s="9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1:18" ht="16.5" customHeight="1" x14ac:dyDescent="0.2">
      <c r="A144" s="9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1:20" ht="16.5" customHeight="1" x14ac:dyDescent="0.2">
      <c r="A145" s="9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20" ht="16.5" customHeight="1" x14ac:dyDescent="0.2">
      <c r="A146" s="9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1:20" ht="16.5" customHeight="1" x14ac:dyDescent="0.2">
      <c r="A147" s="9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1:20" ht="16.5" customHeight="1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1:20" ht="16.5" customHeight="1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1:20" ht="16.5" customHeight="1" x14ac:dyDescent="0.2">
      <c r="A150" s="61" t="s">
        <v>145</v>
      </c>
      <c r="B150" s="7"/>
      <c r="C150" s="61"/>
      <c r="D150" s="7"/>
      <c r="E150" s="7"/>
      <c r="F150" s="7"/>
      <c r="G150" s="7" t="s">
        <v>234</v>
      </c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</row>
    <row r="151" spans="1:20" ht="16.5" customHeight="1" x14ac:dyDescent="0.2">
      <c r="A151" s="7">
        <v>0.70000000000000007</v>
      </c>
      <c r="B151" s="7">
        <v>5.1961524227066312E-2</v>
      </c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1:20" ht="16.5" customHeight="1" x14ac:dyDescent="0.2">
      <c r="A152" s="7">
        <v>6.546536707079767E-2</v>
      </c>
      <c r="B152" s="7">
        <v>0.9</v>
      </c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1:20" ht="16.5" customHeight="1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1:20" ht="16.5" customHeight="1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1:20" ht="16.5" customHeight="1" x14ac:dyDescent="0.2">
      <c r="A155" s="239"/>
      <c r="B155" s="239"/>
      <c r="C155" s="239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1:20" ht="16.5" customHeight="1" x14ac:dyDescent="0.2">
      <c r="A156" s="239"/>
      <c r="B156" s="239"/>
      <c r="C156" s="239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1:20" ht="16.5" customHeight="1" x14ac:dyDescent="0.2">
      <c r="A157" s="239"/>
      <c r="B157" s="239"/>
      <c r="C157" s="239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1:20" ht="16.5" customHeight="1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</row>
    <row r="159" spans="1:20" ht="16.5" customHeight="1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</row>
    <row r="160" spans="1:20" ht="16.5" customHeight="1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</row>
    <row r="161" spans="1:18" ht="16.5" customHeight="1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</row>
    <row r="162" spans="1:18" ht="16.5" customHeight="1" x14ac:dyDescent="0.2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</row>
    <row r="163" spans="1:18" ht="16.5" customHeight="1" x14ac:dyDescent="0.2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</row>
    <row r="164" spans="1:18" ht="16.5" customHeight="1" x14ac:dyDescent="0.2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</row>
    <row r="165" spans="1:18" ht="16.5" customHeight="1" x14ac:dyDescent="0.2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</row>
    <row r="166" spans="1:18" ht="16.5" customHeight="1" x14ac:dyDescent="0.2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</row>
    <row r="167" spans="1:18" ht="16.5" customHeight="1" x14ac:dyDescent="0.2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</row>
    <row r="168" spans="1:18" ht="16.5" customHeight="1" x14ac:dyDescent="0.2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</row>
    <row r="169" spans="1:18" ht="16.5" customHeight="1" x14ac:dyDescent="0.2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</row>
    <row r="170" spans="1:18" ht="16.5" customHeight="1" x14ac:dyDescent="0.2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</row>
    <row r="171" spans="1:18" ht="16.5" customHeight="1" x14ac:dyDescent="0.2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</row>
    <row r="172" spans="1:18" ht="16.5" customHeight="1" x14ac:dyDescent="0.2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</row>
    <row r="173" spans="1:18" ht="16.5" customHeight="1" x14ac:dyDescent="0.2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</row>
    <row r="174" spans="1:18" ht="16.5" customHeight="1" x14ac:dyDescent="0.2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</row>
    <row r="175" spans="1:18" ht="16.5" customHeight="1" x14ac:dyDescent="0.2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</row>
    <row r="176" spans="1:18" ht="16.5" customHeight="1" x14ac:dyDescent="0.2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</row>
    <row r="177" spans="1:18" ht="16.5" customHeight="1" x14ac:dyDescent="0.2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</row>
    <row r="178" spans="1:18" ht="16.5" customHeight="1" x14ac:dyDescent="0.2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</row>
    <row r="179" spans="1:18" ht="16.5" customHeight="1" x14ac:dyDescent="0.2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</row>
    <row r="180" spans="1:18" ht="16.5" customHeight="1" x14ac:dyDescent="0.2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</row>
    <row r="181" spans="1:18" ht="16.5" customHeight="1" x14ac:dyDescent="0.2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</row>
    <row r="182" spans="1:18" ht="16.5" customHeight="1" x14ac:dyDescent="0.2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</row>
    <row r="183" spans="1:18" ht="16.5" customHeight="1" x14ac:dyDescent="0.2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</row>
    <row r="184" spans="1:18" ht="16.5" customHeight="1" x14ac:dyDescent="0.2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</row>
    <row r="185" spans="1:18" ht="16.5" customHeight="1" x14ac:dyDescent="0.2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</row>
    <row r="186" spans="1:18" ht="16.5" customHeight="1" x14ac:dyDescent="0.2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</row>
    <row r="187" spans="1:18" ht="16.5" customHeight="1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</row>
    <row r="188" spans="1:18" ht="16.5" customHeight="1" x14ac:dyDescent="0.2">
      <c r="A188" s="17"/>
      <c r="B188" s="17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</row>
    <row r="189" spans="1:18" ht="16.5" customHeight="1" x14ac:dyDescent="0.2">
      <c r="A189" s="17"/>
      <c r="B189" s="17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</row>
    <row r="190" spans="1:18" ht="16.5" customHeight="1" x14ac:dyDescent="0.2">
      <c r="A190" s="17"/>
      <c r="B190" s="17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</row>
    <row r="191" spans="1:18" ht="16.5" customHeight="1" x14ac:dyDescent="0.2">
      <c r="A191" s="17"/>
      <c r="B191" s="17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</row>
    <row r="192" spans="1:18" ht="16.5" customHeight="1" x14ac:dyDescent="0.2">
      <c r="A192" s="17"/>
      <c r="B192" s="17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</row>
    <row r="193" spans="1:18" ht="16.5" customHeight="1" x14ac:dyDescent="0.2">
      <c r="A193" s="17"/>
      <c r="B193" s="17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</row>
    <row r="194" spans="1:18" ht="16.5" customHeight="1" x14ac:dyDescent="0.2">
      <c r="A194" s="17"/>
      <c r="B194" s="17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</row>
    <row r="195" spans="1:18" ht="16.5" customHeight="1" x14ac:dyDescent="0.2">
      <c r="A195" s="17"/>
      <c r="B195" s="17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</row>
    <row r="196" spans="1:18" ht="16.5" customHeight="1" x14ac:dyDescent="0.2">
      <c r="A196" s="17"/>
      <c r="B196" s="17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</row>
    <row r="197" spans="1:18" ht="16.5" customHeight="1" x14ac:dyDescent="0.2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</row>
    <row r="198" spans="1:18" ht="16.5" customHeight="1" x14ac:dyDescent="0.2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</row>
    <row r="199" spans="1:18" ht="16.5" customHeight="1" x14ac:dyDescent="0.2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</row>
    <row r="200" spans="1:18" ht="16.5" customHeight="1" x14ac:dyDescent="0.2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</row>
    <row r="201" spans="1:18" ht="16.5" customHeight="1" x14ac:dyDescent="0.2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</row>
    <row r="202" spans="1:18" ht="16.5" customHeight="1" x14ac:dyDescent="0.2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</row>
    <row r="203" spans="1:18" ht="16.5" customHeight="1" x14ac:dyDescent="0.2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</row>
    <row r="204" spans="1:18" ht="16.5" customHeight="1" x14ac:dyDescent="0.2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</row>
    <row r="205" spans="1:18" ht="16.5" customHeight="1" x14ac:dyDescent="0.2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</row>
    <row r="206" spans="1:18" ht="16.5" customHeight="1" x14ac:dyDescent="0.2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</row>
    <row r="207" spans="1:18" ht="16.5" customHeight="1" x14ac:dyDescent="0.2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</row>
    <row r="208" spans="1:18" ht="16.5" customHeight="1" x14ac:dyDescent="0.2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</row>
    <row r="209" spans="1:18" ht="16.5" customHeight="1" x14ac:dyDescent="0.2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</row>
    <row r="210" spans="1:18" ht="16.5" customHeight="1" x14ac:dyDescent="0.2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</row>
    <row r="211" spans="1:18" ht="16.5" customHeight="1" x14ac:dyDescent="0.2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</row>
    <row r="212" spans="1:18" ht="16.5" customHeight="1" x14ac:dyDescent="0.2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</row>
    <row r="213" spans="1:18" ht="16.5" customHeight="1" x14ac:dyDescent="0.2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</row>
    <row r="214" spans="1:18" ht="16.5" customHeight="1" x14ac:dyDescent="0.2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</row>
    <row r="215" spans="1:18" ht="16.5" customHeight="1" x14ac:dyDescent="0.2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</row>
    <row r="216" spans="1:18" ht="16.5" customHeight="1" x14ac:dyDescent="0.2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</row>
    <row r="217" spans="1:18" ht="16.5" customHeight="1" x14ac:dyDescent="0.2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</row>
    <row r="218" spans="1:18" ht="16.5" customHeight="1" x14ac:dyDescent="0.2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</row>
    <row r="219" spans="1:18" ht="16.5" customHeight="1" x14ac:dyDescent="0.2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</row>
    <row r="220" spans="1:18" ht="16.5" customHeight="1" x14ac:dyDescent="0.2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</row>
    <row r="221" spans="1:18" ht="16.5" customHeight="1" x14ac:dyDescent="0.2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</row>
    <row r="222" spans="1:18" ht="16.5" customHeight="1" x14ac:dyDescent="0.2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</row>
    <row r="223" spans="1:18" ht="16.5" customHeight="1" x14ac:dyDescent="0.2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</row>
    <row r="224" spans="1:18" ht="16.5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</row>
    <row r="225" spans="1:18" ht="16.5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</row>
    <row r="226" spans="1:18" ht="16.5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</row>
    <row r="227" spans="1:18" ht="16.5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</row>
    <row r="228" spans="1:18" ht="16.5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</row>
    <row r="229" spans="1:18" ht="16.5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</row>
    <row r="230" spans="1:18" ht="16.5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</row>
    <row r="231" spans="1:18" ht="16.5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</row>
    <row r="232" spans="1:18" ht="16.5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</row>
    <row r="233" spans="1:18" ht="16.5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</row>
    <row r="234" spans="1:18" ht="16.5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</row>
    <row r="235" spans="1:18" ht="16.5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</row>
    <row r="236" spans="1:18" ht="16.5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</row>
    <row r="237" spans="1:18" ht="16.5" customHeight="1" x14ac:dyDescent="0.2">
      <c r="A237" s="11"/>
      <c r="B237" s="11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</row>
    <row r="238" spans="1:18" ht="16.5" customHeight="1" x14ac:dyDescent="0.2">
      <c r="A238" s="11"/>
      <c r="B238" s="11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</row>
    <row r="239" spans="1:18" ht="16.5" customHeight="1" x14ac:dyDescent="0.2">
      <c r="A239" s="11"/>
      <c r="B239" s="11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</row>
    <row r="240" spans="1:18" ht="16.5" customHeight="1" x14ac:dyDescent="0.2">
      <c r="A240" s="11"/>
      <c r="B240" s="11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</row>
    <row r="241" spans="1:18" ht="16.5" customHeight="1" x14ac:dyDescent="0.2">
      <c r="A241" s="11"/>
      <c r="B241" s="11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</row>
    <row r="242" spans="1:18" ht="16.5" customHeight="1" x14ac:dyDescent="0.2">
      <c r="A242" s="11"/>
      <c r="B242" s="11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</row>
    <row r="243" spans="1:18" x14ac:dyDescent="0.2">
      <c r="A243" s="8"/>
      <c r="B243" s="8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</row>
    <row r="244" spans="1:18" x14ac:dyDescent="0.2">
      <c r="A244" s="8"/>
      <c r="B244" s="8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</row>
    <row r="245" spans="1:18" x14ac:dyDescent="0.2">
      <c r="A245" s="8"/>
      <c r="B245" s="8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</row>
    <row r="246" spans="1:18" x14ac:dyDescent="0.2">
      <c r="A246" s="8"/>
      <c r="B246" s="8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</row>
    <row r="247" spans="1:18" x14ac:dyDescent="0.2">
      <c r="A247" s="8"/>
      <c r="B247" s="8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</row>
    <row r="248" spans="1:18" x14ac:dyDescent="0.2">
      <c r="A248" s="8"/>
      <c r="B248" s="8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</row>
    <row r="249" spans="1:18" x14ac:dyDescent="0.2">
      <c r="A249" s="8"/>
      <c r="B249" s="8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</row>
    <row r="250" spans="1:18" x14ac:dyDescent="0.2">
      <c r="A250" s="8"/>
      <c r="B250" s="8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</row>
    <row r="251" spans="1:18" x14ac:dyDescent="0.2">
      <c r="A251" s="8"/>
      <c r="B251" s="15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</row>
    <row r="252" spans="1:18" x14ac:dyDescent="0.2">
      <c r="A252" s="8"/>
      <c r="B252" s="15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</row>
    <row r="253" spans="1:18" x14ac:dyDescent="0.2">
      <c r="A253" s="8"/>
      <c r="B253" s="15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</row>
    <row r="254" spans="1:18" x14ac:dyDescent="0.2">
      <c r="A254" s="8"/>
      <c r="B254" s="15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</row>
    <row r="255" spans="1:18" x14ac:dyDescent="0.2">
      <c r="A255" s="8"/>
      <c r="B255" s="15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</row>
    <row r="256" spans="1:18" x14ac:dyDescent="0.2">
      <c r="A256" s="8"/>
      <c r="B256" s="15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</row>
    <row r="257" spans="1:18" x14ac:dyDescent="0.2">
      <c r="A257" s="8"/>
      <c r="B257" s="15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</row>
    <row r="258" spans="1:18" x14ac:dyDescent="0.2">
      <c r="A258" s="8"/>
      <c r="B258" s="15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</row>
    <row r="259" spans="1:18" x14ac:dyDescent="0.2">
      <c r="A259" s="8"/>
      <c r="B259" s="15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</row>
    <row r="260" spans="1:18" x14ac:dyDescent="0.2">
      <c r="A260" s="8"/>
      <c r="B260" s="15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</row>
    <row r="261" spans="1:18" x14ac:dyDescent="0.2">
      <c r="A261" s="8"/>
      <c r="B261" s="15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</row>
    <row r="262" spans="1:18" x14ac:dyDescent="0.2">
      <c r="A262" s="8"/>
      <c r="B262" s="15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</row>
    <row r="263" spans="1:18" x14ac:dyDescent="0.2">
      <c r="A263" s="8"/>
      <c r="B263" s="15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</row>
    <row r="264" spans="1:18" x14ac:dyDescent="0.2">
      <c r="A264" s="8"/>
      <c r="B264" s="15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</row>
    <row r="265" spans="1:18" x14ac:dyDescent="0.2">
      <c r="A265" s="8"/>
      <c r="B265" s="15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</row>
    <row r="266" spans="1:18" x14ac:dyDescent="0.2">
      <c r="A266" s="15"/>
      <c r="B266" s="15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</row>
    <row r="267" spans="1:18" x14ac:dyDescent="0.2">
      <c r="A267" s="15"/>
      <c r="B267" s="15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</row>
    <row r="268" spans="1:18" x14ac:dyDescent="0.2">
      <c r="A268" s="15"/>
      <c r="B268" s="15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</row>
    <row r="269" spans="1:18" x14ac:dyDescent="0.2">
      <c r="A269" s="15"/>
      <c r="B269" s="15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</row>
    <row r="270" spans="1:18" x14ac:dyDescent="0.2">
      <c r="A270" s="15"/>
      <c r="B270" s="15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</row>
    <row r="271" spans="1:18" x14ac:dyDescent="0.2">
      <c r="A271" s="15"/>
      <c r="B271" s="15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</row>
    <row r="272" spans="1:18" x14ac:dyDescent="0.2">
      <c r="A272" s="15"/>
      <c r="B272" s="15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</row>
    <row r="273" spans="1:18" x14ac:dyDescent="0.2">
      <c r="A273" s="15"/>
      <c r="B273" s="15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</row>
    <row r="274" spans="1:18" x14ac:dyDescent="0.2">
      <c r="A274" s="15"/>
      <c r="B274" s="15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</row>
    <row r="275" spans="1:18" x14ac:dyDescent="0.2">
      <c r="A275" s="15"/>
      <c r="B275" s="15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</row>
    <row r="276" spans="1:18" x14ac:dyDescent="0.2">
      <c r="A276" s="15"/>
      <c r="B276" s="15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</row>
    <row r="277" spans="1:18" x14ac:dyDescent="0.2">
      <c r="A277" s="15"/>
      <c r="B277" s="15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</row>
    <row r="278" spans="1:18" x14ac:dyDescent="0.2">
      <c r="A278" s="15"/>
      <c r="B278" s="15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</row>
    <row r="279" spans="1:18" x14ac:dyDescent="0.2">
      <c r="A279" s="15"/>
      <c r="B279" s="15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</row>
    <row r="280" spans="1:18" x14ac:dyDescent="0.2">
      <c r="A280" s="15"/>
      <c r="B280" s="15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</row>
    <row r="281" spans="1:18" x14ac:dyDescent="0.2">
      <c r="A281" s="15"/>
      <c r="B281" s="15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</row>
    <row r="282" spans="1:18" x14ac:dyDescent="0.2">
      <c r="A282" s="15"/>
      <c r="B282" s="15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</row>
    <row r="283" spans="1:18" x14ac:dyDescent="0.2">
      <c r="A283" s="15"/>
      <c r="B283" s="15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</row>
    <row r="284" spans="1:18" x14ac:dyDescent="0.2">
      <c r="A284" s="15"/>
      <c r="B284" s="15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</row>
    <row r="285" spans="1:18" x14ac:dyDescent="0.2">
      <c r="A285" s="15"/>
      <c r="B285" s="15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</row>
    <row r="286" spans="1:18" x14ac:dyDescent="0.2">
      <c r="A286" s="15"/>
      <c r="B286" s="15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</row>
    <row r="287" spans="1:18" x14ac:dyDescent="0.2">
      <c r="A287" s="15"/>
      <c r="B287" s="15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</row>
    <row r="288" spans="1:18" x14ac:dyDescent="0.2">
      <c r="A288" s="15"/>
      <c r="B288" s="15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</row>
    <row r="289" spans="1:20" x14ac:dyDescent="0.2">
      <c r="A289" s="15"/>
      <c r="B289" s="15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</row>
    <row r="290" spans="1:20" x14ac:dyDescent="0.2">
      <c r="A290" s="15"/>
      <c r="B290" s="15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</row>
    <row r="291" spans="1:20" x14ac:dyDescent="0.2">
      <c r="A291" s="15"/>
      <c r="B291" s="15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</row>
    <row r="292" spans="1:20" x14ac:dyDescent="0.2">
      <c r="A292" s="15"/>
      <c r="B292" s="15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</row>
    <row r="293" spans="1:20" x14ac:dyDescent="0.2">
      <c r="A293" s="15"/>
      <c r="B293" s="15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</row>
    <row r="294" spans="1:20" x14ac:dyDescent="0.2">
      <c r="A294" s="15"/>
      <c r="B294" s="15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</row>
    <row r="295" spans="1:20" x14ac:dyDescent="0.2">
      <c r="A295" s="15"/>
      <c r="B295" s="15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</row>
    <row r="296" spans="1:20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spans="1:20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spans="1:20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spans="1:20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spans="1:20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spans="1:20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spans="1:20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spans="1:20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spans="1:20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spans="1:20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spans="1:20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spans="1:20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spans="1:20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spans="1:20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spans="1:20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spans="1:20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spans="1:20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spans="1:20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spans="1:20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spans="1:20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</row>
    <row r="316" spans="1:20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</row>
    <row r="317" spans="1:20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</row>
    <row r="318" spans="1:20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</row>
    <row r="319" spans="1:20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</row>
    <row r="320" spans="1:20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</row>
    <row r="321" spans="1:20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</row>
    <row r="322" spans="1:20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</row>
    <row r="323" spans="1:20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</row>
    <row r="324" spans="1:20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</row>
    <row r="325" spans="1:20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</row>
    <row r="326" spans="1:20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</row>
    <row r="327" spans="1:20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</row>
    <row r="328" spans="1:20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</row>
    <row r="329" spans="1:20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</row>
    <row r="330" spans="1:20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</row>
    <row r="331" spans="1:20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</row>
    <row r="332" spans="1:20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</row>
    <row r="333" spans="1:20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</row>
    <row r="334" spans="1:20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</row>
    <row r="335" spans="1:20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</row>
    <row r="336" spans="1:20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</row>
    <row r="337" spans="1:20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</row>
    <row r="338" spans="1:20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</row>
    <row r="339" spans="1:20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</row>
    <row r="340" spans="1:20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</row>
    <row r="341" spans="1:20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</row>
    <row r="342" spans="1:20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</row>
    <row r="343" spans="1:20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</row>
    <row r="344" spans="1:20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</row>
    <row r="345" spans="1:20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</row>
    <row r="346" spans="1:20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</row>
    <row r="347" spans="1:20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</row>
    <row r="348" spans="1:20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</row>
    <row r="349" spans="1:20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</row>
    <row r="350" spans="1:20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</row>
    <row r="351" spans="1:20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</row>
    <row r="352" spans="1:20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</row>
    <row r="353" spans="1:20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</row>
  </sheetData>
  <sheetProtection selectLockedCells="1"/>
  <mergeCells count="6">
    <mergeCell ref="D3:H3"/>
    <mergeCell ref="D4:D5"/>
    <mergeCell ref="E4:E5"/>
    <mergeCell ref="F4:F5"/>
    <mergeCell ref="G4:G5"/>
    <mergeCell ref="H4:H5"/>
  </mergeCells>
  <phoneticPr fontId="0" type="noConversion"/>
  <conditionalFormatting sqref="D6">
    <cfRule type="expression" dxfId="6" priority="83">
      <formula>ABS($H$6)&gt;0</formula>
    </cfRule>
  </conditionalFormatting>
  <conditionalFormatting sqref="D6:H6">
    <cfRule type="expression" dxfId="5" priority="81">
      <formula>$H6&gt;0</formula>
    </cfRule>
    <cfRule type="expression" dxfId="4" priority="82">
      <formula>"abs($H$6)&gt;0"</formula>
    </cfRule>
  </conditionalFormatting>
  <conditionalFormatting sqref="C51:O63">
    <cfRule type="cellIs" dxfId="3" priority="7" operator="lessThan">
      <formula>-1</formula>
    </cfRule>
    <cfRule type="cellIs" dxfId="2" priority="8" operator="greaterThan">
      <formula>1</formula>
    </cfRule>
  </conditionalFormatting>
  <conditionalFormatting sqref="AA33:AO47">
    <cfRule type="cellIs" dxfId="1" priority="1" operator="lessThan">
      <formula>-0.0001</formula>
    </cfRule>
    <cfRule type="cellIs" dxfId="0" priority="2" operator="greaterThan">
      <formula>0.0001</formula>
    </cfRule>
  </conditionalFormatting>
  <dataValidations count="1">
    <dataValidation type="list" allowBlank="1" showInputMessage="1" showErrorMessage="1" sqref="B2">
      <formula1>$A$257:$A$263</formula1>
    </dataValidation>
  </dataValidations>
  <pageMargins left="0.19685039370078741" right="0.55118110236220474" top="0.23622047244094491" bottom="0.19685039370078741" header="0.39370078740157483" footer="0.15748031496062992"/>
  <pageSetup paperSize="9" scale="11" orientation="landscape" horizontalDpi="360" verticalDpi="36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2"/>
  <sheetViews>
    <sheetView workbookViewId="0">
      <pane xSplit="23700" topLeftCell="AF1"/>
      <selection activeCell="B6" sqref="B6"/>
      <selection pane="topRight" activeCell="K3" sqref="K3"/>
    </sheetView>
  </sheetViews>
  <sheetFormatPr defaultColWidth="8.85546875" defaultRowHeight="12.75" x14ac:dyDescent="0.2"/>
  <cols>
    <col min="1" max="1" width="22" style="3" customWidth="1"/>
    <col min="2" max="2" width="20" style="3" customWidth="1"/>
    <col min="3" max="3" width="24.28515625" style="3" customWidth="1"/>
    <col min="4" max="4" width="20.42578125" style="189" customWidth="1"/>
    <col min="5" max="5" width="21.140625" style="3" customWidth="1"/>
    <col min="6" max="6" width="11.5703125" style="3" customWidth="1"/>
    <col min="7" max="7" width="9.5703125" style="3" customWidth="1"/>
    <col min="8" max="8" width="10.5703125" style="3" customWidth="1"/>
    <col min="9" max="9" width="12.5703125" style="3" customWidth="1"/>
    <col min="10" max="10" width="5" style="3" customWidth="1"/>
    <col min="11" max="11" width="4.42578125" style="3" customWidth="1"/>
    <col min="12" max="12" width="7.42578125" style="3" customWidth="1"/>
    <col min="13" max="13" width="5.5703125" style="3" bestFit="1" customWidth="1"/>
    <col min="14" max="21" width="5" style="3" customWidth="1"/>
    <col min="22" max="22" width="25" style="3" customWidth="1"/>
    <col min="23" max="23" width="5" style="3" customWidth="1"/>
    <col min="24" max="24" width="4.42578125" style="3" customWidth="1"/>
    <col min="25" max="27" width="5" style="3" customWidth="1"/>
    <col min="28" max="28" width="4.42578125" style="3" customWidth="1"/>
    <col min="29" max="30" width="5" style="3" customWidth="1"/>
    <col min="31" max="34" width="4.42578125" style="3" customWidth="1"/>
    <col min="35" max="37" width="5" style="3" customWidth="1"/>
    <col min="38" max="38" width="4.42578125" style="189" customWidth="1"/>
    <col min="39" max="16384" width="8.85546875" style="189"/>
  </cols>
  <sheetData>
    <row r="1" spans="1:66" ht="18" x14ac:dyDescent="0.25">
      <c r="A1" s="322" t="s">
        <v>11</v>
      </c>
      <c r="B1" s="292">
        <v>2</v>
      </c>
      <c r="C1" s="293" t="s">
        <v>183</v>
      </c>
      <c r="D1" s="294"/>
      <c r="E1" s="295"/>
      <c r="F1" s="296"/>
      <c r="G1" s="296"/>
      <c r="H1" s="296"/>
      <c r="I1" s="296"/>
      <c r="J1" s="296"/>
      <c r="K1" s="296"/>
      <c r="L1" s="296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95"/>
      <c r="AH1" s="295"/>
      <c r="AI1" s="295"/>
      <c r="AJ1" s="295"/>
      <c r="AK1" s="295"/>
      <c r="AL1" s="294"/>
      <c r="AM1" s="294"/>
      <c r="AN1" s="294"/>
      <c r="AO1" s="294"/>
      <c r="AP1" s="294"/>
      <c r="AQ1" s="294"/>
      <c r="AR1" s="294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</row>
    <row r="2" spans="1:66" ht="51.75" customHeight="1" x14ac:dyDescent="0.25">
      <c r="A2" s="214" t="s">
        <v>139</v>
      </c>
      <c r="B2" s="297" t="s">
        <v>231</v>
      </c>
      <c r="C2" s="298"/>
      <c r="D2" s="299"/>
      <c r="E2" s="298"/>
      <c r="F2" s="298"/>
      <c r="G2" s="298"/>
      <c r="H2" s="298"/>
      <c r="I2" s="298"/>
      <c r="J2" s="296"/>
      <c r="K2" s="296"/>
      <c r="L2" s="296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</row>
    <row r="3" spans="1:66" ht="15.75" x14ac:dyDescent="0.25">
      <c r="A3" s="434" t="s">
        <v>82</v>
      </c>
      <c r="B3" s="348" t="s">
        <v>239</v>
      </c>
      <c r="C3" s="348" t="s">
        <v>240</v>
      </c>
      <c r="D3" s="349" t="s">
        <v>241</v>
      </c>
      <c r="E3" s="348"/>
      <c r="F3" s="348"/>
      <c r="G3" s="348"/>
      <c r="H3" s="348"/>
      <c r="I3" s="348"/>
      <c r="J3" s="296"/>
      <c r="K3" s="296"/>
      <c r="L3" s="296"/>
      <c r="M3" s="295"/>
      <c r="N3" s="295"/>
      <c r="O3" s="295"/>
      <c r="P3" s="295"/>
      <c r="Q3" s="300"/>
      <c r="R3" s="300"/>
      <c r="S3" s="300"/>
      <c r="T3" s="300"/>
      <c r="U3" s="300"/>
      <c r="V3" s="300"/>
      <c r="W3" s="300"/>
      <c r="X3" s="300"/>
      <c r="Y3" s="300"/>
      <c r="Z3" s="300"/>
      <c r="AA3" s="300"/>
      <c r="AB3" s="300"/>
      <c r="AC3" s="300"/>
      <c r="AD3" s="300"/>
      <c r="AE3" s="300"/>
      <c r="AF3" s="300"/>
      <c r="AG3" s="300"/>
      <c r="AH3" s="300"/>
      <c r="AI3" s="300"/>
      <c r="AJ3" s="300"/>
      <c r="AK3" s="300"/>
      <c r="AL3" s="300"/>
      <c r="AM3" s="300"/>
      <c r="AN3" s="300"/>
      <c r="AO3" s="300"/>
      <c r="AP3" s="300"/>
      <c r="AQ3" s="300"/>
      <c r="AR3" s="300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</row>
    <row r="4" spans="1:66" ht="14.25" x14ac:dyDescent="0.2">
      <c r="A4" s="354" t="s">
        <v>237</v>
      </c>
      <c r="B4" s="202">
        <v>1</v>
      </c>
      <c r="C4" s="202">
        <v>1</v>
      </c>
      <c r="D4" s="202">
        <v>0</v>
      </c>
      <c r="E4" s="202"/>
      <c r="F4" s="202"/>
      <c r="G4" s="147"/>
      <c r="H4" s="147"/>
      <c r="I4" s="147"/>
      <c r="J4" s="296"/>
      <c r="K4" s="296"/>
      <c r="L4" s="296"/>
      <c r="M4" s="295"/>
      <c r="N4" s="295"/>
      <c r="O4" s="295"/>
      <c r="P4" s="295"/>
      <c r="Q4" s="301"/>
      <c r="R4" s="302"/>
      <c r="S4" s="302"/>
      <c r="T4" s="302"/>
      <c r="U4" s="302"/>
      <c r="V4" s="302"/>
      <c r="W4" s="302"/>
      <c r="X4" s="302"/>
      <c r="Y4" s="302"/>
      <c r="Z4" s="302"/>
      <c r="AA4" s="300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1"/>
      <c r="AP4" s="302"/>
      <c r="AQ4" s="302"/>
      <c r="AR4" s="302"/>
      <c r="AS4" s="158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</row>
    <row r="5" spans="1:66" ht="14.25" x14ac:dyDescent="0.2">
      <c r="A5" s="354" t="s">
        <v>238</v>
      </c>
      <c r="B5" s="320">
        <v>1</v>
      </c>
      <c r="C5" s="320">
        <v>1</v>
      </c>
      <c r="D5" s="320">
        <v>1</v>
      </c>
      <c r="E5" s="202"/>
      <c r="F5" s="202"/>
      <c r="G5" s="147"/>
      <c r="H5" s="147"/>
      <c r="I5" s="147"/>
      <c r="J5" s="296"/>
      <c r="K5" s="296"/>
      <c r="L5" s="296"/>
      <c r="M5" s="295"/>
      <c r="N5" s="295"/>
      <c r="O5" s="295"/>
      <c r="P5" s="295"/>
      <c r="Q5" s="302"/>
      <c r="R5" s="302"/>
      <c r="S5" s="302"/>
      <c r="T5" s="302"/>
      <c r="U5" s="302"/>
      <c r="V5" s="302"/>
      <c r="W5" s="302"/>
      <c r="X5" s="302"/>
      <c r="Y5" s="302"/>
      <c r="Z5" s="302"/>
      <c r="AA5" s="300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158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  <c r="BL5" s="71"/>
      <c r="BM5" s="71"/>
      <c r="BN5" s="71"/>
    </row>
    <row r="6" spans="1:66" ht="14.25" x14ac:dyDescent="0.2">
      <c r="A6" s="296"/>
      <c r="B6" s="320"/>
      <c r="C6" s="320"/>
      <c r="D6" s="320"/>
      <c r="E6" s="202"/>
      <c r="F6" s="202"/>
      <c r="G6" s="147"/>
      <c r="H6" s="147"/>
      <c r="I6" s="147"/>
      <c r="J6" s="296"/>
      <c r="K6" s="296"/>
      <c r="L6" s="296"/>
      <c r="M6" s="295"/>
      <c r="N6" s="295"/>
      <c r="O6" s="295"/>
      <c r="P6" s="295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0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158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</row>
    <row r="7" spans="1:66" ht="14.25" x14ac:dyDescent="0.2">
      <c r="A7" s="296"/>
      <c r="B7" s="320"/>
      <c r="C7" s="320"/>
      <c r="D7" s="320"/>
      <c r="E7" s="202"/>
      <c r="F7" s="202"/>
      <c r="G7" s="147"/>
      <c r="H7" s="147"/>
      <c r="I7" s="147"/>
      <c r="J7" s="296"/>
      <c r="K7" s="296"/>
      <c r="L7" s="296"/>
      <c r="M7" s="295"/>
      <c r="N7" s="295"/>
      <c r="O7" s="295"/>
      <c r="P7" s="295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0"/>
      <c r="AB7" s="302"/>
      <c r="AC7" s="302"/>
      <c r="AD7" s="302"/>
      <c r="AE7" s="302"/>
      <c r="AF7" s="301"/>
      <c r="AG7" s="302"/>
      <c r="AH7" s="302"/>
      <c r="AI7" s="302"/>
      <c r="AJ7" s="302"/>
      <c r="AK7" s="302"/>
      <c r="AL7" s="302"/>
      <c r="AM7" s="302"/>
      <c r="AN7" s="302"/>
      <c r="AO7" s="301"/>
      <c r="AP7" s="302"/>
      <c r="AQ7" s="302"/>
      <c r="AR7" s="302"/>
      <c r="AS7" s="158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</row>
    <row r="8" spans="1:66" ht="14.25" x14ac:dyDescent="0.2">
      <c r="A8" s="296"/>
      <c r="B8" s="320"/>
      <c r="C8" s="320"/>
      <c r="D8" s="320"/>
      <c r="E8" s="202"/>
      <c r="F8" s="202"/>
      <c r="G8" s="147"/>
      <c r="H8" s="147"/>
      <c r="I8" s="147"/>
      <c r="J8" s="296"/>
      <c r="K8" s="296"/>
      <c r="L8" s="296"/>
      <c r="M8" s="295"/>
      <c r="N8" s="295"/>
      <c r="O8" s="295"/>
      <c r="P8" s="295"/>
      <c r="Q8" s="302"/>
      <c r="R8" s="303"/>
      <c r="S8" s="302"/>
      <c r="T8" s="302"/>
      <c r="U8" s="302"/>
      <c r="V8" s="302"/>
      <c r="W8" s="302"/>
      <c r="X8" s="302"/>
      <c r="Y8" s="302"/>
      <c r="Z8" s="302"/>
      <c r="AA8" s="300"/>
      <c r="AB8" s="302"/>
      <c r="AC8" s="302"/>
      <c r="AD8" s="302"/>
      <c r="AE8" s="302"/>
      <c r="AF8" s="302"/>
      <c r="AG8" s="302"/>
      <c r="AH8" s="302"/>
      <c r="AI8" s="302"/>
      <c r="AJ8" s="302"/>
      <c r="AK8" s="302"/>
      <c r="AL8" s="302"/>
      <c r="AM8" s="302"/>
      <c r="AN8" s="302"/>
      <c r="AO8" s="301"/>
      <c r="AP8" s="302"/>
      <c r="AQ8" s="302"/>
      <c r="AR8" s="302"/>
      <c r="AS8" s="158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</row>
    <row r="9" spans="1:66" ht="14.25" x14ac:dyDescent="0.2">
      <c r="A9" s="296"/>
      <c r="B9" s="320"/>
      <c r="C9" s="320"/>
      <c r="D9" s="320"/>
      <c r="E9" s="202"/>
      <c r="F9" s="202"/>
      <c r="G9" s="147"/>
      <c r="H9" s="147"/>
      <c r="I9" s="147"/>
      <c r="J9" s="296"/>
      <c r="K9" s="296"/>
      <c r="L9" s="296"/>
      <c r="M9" s="295"/>
      <c r="N9" s="295"/>
      <c r="O9" s="295"/>
      <c r="P9" s="295"/>
      <c r="Q9" s="303"/>
      <c r="R9" s="302"/>
      <c r="S9" s="302"/>
      <c r="T9" s="302"/>
      <c r="U9" s="302"/>
      <c r="V9" s="302"/>
      <c r="W9" s="302"/>
      <c r="X9" s="302"/>
      <c r="Y9" s="302"/>
      <c r="Z9" s="302"/>
      <c r="AA9" s="300"/>
      <c r="AB9" s="302"/>
      <c r="AC9" s="302"/>
      <c r="AD9" s="302"/>
      <c r="AE9" s="302"/>
      <c r="AF9" s="302"/>
      <c r="AG9" s="302"/>
      <c r="AH9" s="302"/>
      <c r="AI9" s="302"/>
      <c r="AJ9" s="302"/>
      <c r="AK9" s="302"/>
      <c r="AL9" s="302"/>
      <c r="AM9" s="302"/>
      <c r="AN9" s="302"/>
      <c r="AO9" s="301"/>
      <c r="AP9" s="302"/>
      <c r="AQ9" s="302"/>
      <c r="AR9" s="302"/>
      <c r="AS9" s="158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</row>
    <row r="10" spans="1:66" ht="14.25" x14ac:dyDescent="0.2">
      <c r="A10" s="296"/>
      <c r="B10" s="320"/>
      <c r="C10" s="320"/>
      <c r="D10" s="320"/>
      <c r="E10" s="202"/>
      <c r="F10" s="202"/>
      <c r="G10" s="147"/>
      <c r="H10" s="147"/>
      <c r="I10" s="147"/>
      <c r="J10" s="296"/>
      <c r="K10" s="296"/>
      <c r="L10" s="296"/>
      <c r="M10" s="295"/>
      <c r="N10" s="295"/>
      <c r="O10" s="295"/>
      <c r="P10" s="295"/>
      <c r="Q10" s="302"/>
      <c r="R10" s="302"/>
      <c r="S10" s="303"/>
      <c r="T10" s="302"/>
      <c r="U10" s="302"/>
      <c r="V10" s="302"/>
      <c r="W10" s="302"/>
      <c r="X10" s="302"/>
      <c r="Y10" s="302"/>
      <c r="Z10" s="302"/>
      <c r="AA10" s="300"/>
      <c r="AB10" s="302"/>
      <c r="AC10" s="302"/>
      <c r="AD10" s="302"/>
      <c r="AE10" s="302"/>
      <c r="AF10" s="302"/>
      <c r="AG10" s="302"/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158"/>
      <c r="AT10" s="71"/>
      <c r="AU10" s="71"/>
      <c r="AV10" s="71"/>
      <c r="AW10" s="71"/>
      <c r="AX10" s="71"/>
      <c r="AY10" s="71"/>
      <c r="AZ10" s="71"/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  <c r="BL10" s="71"/>
      <c r="BM10" s="71"/>
      <c r="BN10" s="71"/>
    </row>
    <row r="11" spans="1:66" ht="14.25" x14ac:dyDescent="0.2">
      <c r="A11" s="296"/>
      <c r="B11" s="320"/>
      <c r="C11" s="320"/>
      <c r="D11" s="320"/>
      <c r="E11" s="202"/>
      <c r="F11" s="202"/>
      <c r="G11" s="147"/>
      <c r="H11" s="147"/>
      <c r="I11" s="147"/>
      <c r="J11" s="296"/>
      <c r="K11" s="296"/>
      <c r="L11" s="296"/>
      <c r="M11" s="295"/>
      <c r="N11" s="295"/>
      <c r="O11" s="295"/>
      <c r="P11" s="295"/>
      <c r="Q11" s="302"/>
      <c r="R11" s="302"/>
      <c r="S11" s="302"/>
      <c r="T11" s="303"/>
      <c r="U11" s="302"/>
      <c r="V11" s="302"/>
      <c r="W11" s="302"/>
      <c r="X11" s="302"/>
      <c r="Y11" s="302"/>
      <c r="Z11" s="302"/>
      <c r="AA11" s="300"/>
      <c r="AB11" s="302"/>
      <c r="AC11" s="302"/>
      <c r="AD11" s="302"/>
      <c r="AE11" s="302"/>
      <c r="AF11" s="302"/>
      <c r="AG11" s="302"/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158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71"/>
      <c r="BM11" s="71"/>
      <c r="BN11" s="71"/>
    </row>
    <row r="12" spans="1:66" ht="14.25" x14ac:dyDescent="0.2">
      <c r="A12" s="296"/>
      <c r="B12" s="320"/>
      <c r="C12" s="320"/>
      <c r="D12" s="320"/>
      <c r="E12" s="202"/>
      <c r="F12" s="202"/>
      <c r="G12" s="147"/>
      <c r="H12" s="147"/>
      <c r="I12" s="147"/>
      <c r="J12" s="296"/>
      <c r="K12" s="296"/>
      <c r="L12" s="296"/>
      <c r="M12" s="295"/>
      <c r="N12" s="295"/>
      <c r="O12" s="295"/>
      <c r="P12" s="295"/>
      <c r="Q12" s="302"/>
      <c r="R12" s="302"/>
      <c r="S12" s="302"/>
      <c r="T12" s="302"/>
      <c r="U12" s="303"/>
      <c r="V12" s="302"/>
      <c r="W12" s="302"/>
      <c r="X12" s="302"/>
      <c r="Y12" s="302"/>
      <c r="Z12" s="302"/>
      <c r="AA12" s="300"/>
      <c r="AB12" s="302"/>
      <c r="AC12" s="302"/>
      <c r="AD12" s="302"/>
      <c r="AE12" s="302"/>
      <c r="AF12" s="302"/>
      <c r="AG12" s="302"/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158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</row>
    <row r="13" spans="1:66" ht="14.25" x14ac:dyDescent="0.2">
      <c r="A13" s="296"/>
      <c r="B13" s="320"/>
      <c r="C13" s="320"/>
      <c r="D13" s="320"/>
      <c r="E13" s="202"/>
      <c r="F13" s="202"/>
      <c r="G13" s="147"/>
      <c r="H13" s="147"/>
      <c r="I13" s="147"/>
      <c r="J13" s="296"/>
      <c r="K13" s="296"/>
      <c r="L13" s="296"/>
      <c r="M13" s="295"/>
      <c r="N13" s="295"/>
      <c r="O13" s="295"/>
      <c r="P13" s="295"/>
      <c r="Q13" s="296"/>
      <c r="R13" s="296"/>
      <c r="S13" s="296"/>
      <c r="T13" s="302"/>
      <c r="U13" s="302"/>
      <c r="V13" s="303"/>
      <c r="W13" s="302"/>
      <c r="X13" s="302"/>
      <c r="Y13" s="302"/>
      <c r="Z13" s="302"/>
      <c r="AA13" s="300"/>
      <c r="AB13" s="302"/>
      <c r="AC13" s="302"/>
      <c r="AD13" s="302"/>
      <c r="AE13" s="302"/>
      <c r="AF13" s="302"/>
      <c r="AG13" s="302"/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158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</row>
    <row r="14" spans="1:66" ht="14.25" x14ac:dyDescent="0.2">
      <c r="A14" s="296"/>
      <c r="B14" s="320"/>
      <c r="C14" s="320"/>
      <c r="D14" s="320"/>
      <c r="E14" s="202"/>
      <c r="F14" s="202"/>
      <c r="G14" s="147"/>
      <c r="H14" s="147"/>
      <c r="I14" s="147"/>
      <c r="J14" s="296"/>
      <c r="K14" s="296"/>
      <c r="L14" s="296"/>
      <c r="M14" s="295"/>
      <c r="N14" s="295"/>
      <c r="O14" s="295"/>
      <c r="P14" s="295"/>
      <c r="Q14" s="296"/>
      <c r="R14" s="296"/>
      <c r="S14" s="296"/>
      <c r="T14" s="302"/>
      <c r="U14" s="302"/>
      <c r="V14" s="302"/>
      <c r="W14" s="303"/>
      <c r="X14" s="302"/>
      <c r="Y14" s="302"/>
      <c r="Z14" s="302"/>
      <c r="AA14" s="300"/>
      <c r="AB14" s="302"/>
      <c r="AC14" s="302"/>
      <c r="AD14" s="302"/>
      <c r="AE14" s="302"/>
      <c r="AF14" s="302"/>
      <c r="AG14" s="302"/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158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</row>
    <row r="15" spans="1:66" ht="14.25" x14ac:dyDescent="0.2">
      <c r="A15" s="296"/>
      <c r="B15" s="320"/>
      <c r="C15" s="320"/>
      <c r="D15" s="321"/>
      <c r="E15" s="202"/>
      <c r="F15" s="202"/>
      <c r="G15" s="147"/>
      <c r="H15" s="147"/>
      <c r="I15" s="147"/>
      <c r="J15" s="296"/>
      <c r="K15" s="296"/>
      <c r="L15" s="296"/>
      <c r="M15" s="295"/>
      <c r="N15" s="295"/>
      <c r="O15" s="295"/>
      <c r="P15" s="295"/>
      <c r="Q15" s="296"/>
      <c r="R15" s="296"/>
      <c r="S15" s="296"/>
      <c r="T15" s="302"/>
      <c r="U15" s="302"/>
      <c r="V15" s="302"/>
      <c r="W15" s="302"/>
      <c r="X15" s="303"/>
      <c r="Y15" s="302"/>
      <c r="Z15" s="302"/>
      <c r="AA15" s="300"/>
      <c r="AB15" s="302"/>
      <c r="AC15" s="302"/>
      <c r="AD15" s="302"/>
      <c r="AE15" s="302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158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  <c r="BK15" s="71"/>
      <c r="BL15" s="71"/>
      <c r="BM15" s="71"/>
      <c r="BN15" s="71"/>
    </row>
    <row r="16" spans="1:66" ht="14.25" x14ac:dyDescent="0.2">
      <c r="A16" s="296"/>
      <c r="B16" s="320"/>
      <c r="C16" s="320"/>
      <c r="D16" s="321"/>
      <c r="E16" s="202"/>
      <c r="F16" s="202"/>
      <c r="G16" s="147"/>
      <c r="H16" s="147"/>
      <c r="I16" s="147"/>
      <c r="J16" s="296"/>
      <c r="K16" s="296"/>
      <c r="L16" s="296"/>
      <c r="M16" s="295"/>
      <c r="N16" s="295"/>
      <c r="O16" s="295"/>
      <c r="P16" s="295"/>
      <c r="Q16" s="296"/>
      <c r="R16" s="296"/>
      <c r="S16" s="296"/>
      <c r="T16" s="302"/>
      <c r="U16" s="302"/>
      <c r="V16" s="302"/>
      <c r="W16" s="302"/>
      <c r="X16" s="302"/>
      <c r="Y16" s="304"/>
      <c r="Z16" s="302"/>
      <c r="AA16" s="300"/>
      <c r="AB16" s="302"/>
      <c r="AC16" s="302"/>
      <c r="AD16" s="302"/>
      <c r="AE16" s="302"/>
      <c r="AF16" s="302"/>
      <c r="AG16" s="302"/>
      <c r="AH16" s="302"/>
      <c r="AI16" s="302"/>
      <c r="AJ16" s="302"/>
      <c r="AK16" s="302"/>
      <c r="AL16" s="302"/>
      <c r="AM16" s="302"/>
      <c r="AN16" s="302"/>
      <c r="AO16" s="301"/>
      <c r="AP16" s="302"/>
      <c r="AQ16" s="302"/>
      <c r="AR16" s="302"/>
      <c r="AS16" s="158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  <c r="BK16" s="71"/>
      <c r="BL16" s="71"/>
      <c r="BM16" s="71"/>
      <c r="BN16" s="71"/>
    </row>
    <row r="17" spans="1:66" ht="14.25" x14ac:dyDescent="0.2">
      <c r="A17" s="296"/>
      <c r="B17" s="320"/>
      <c r="C17" s="321"/>
      <c r="D17" s="321"/>
      <c r="E17" s="202"/>
      <c r="F17" s="202"/>
      <c r="G17" s="147"/>
      <c r="H17" s="147"/>
      <c r="I17" s="147"/>
      <c r="J17" s="296"/>
      <c r="K17" s="296"/>
      <c r="L17" s="296"/>
      <c r="M17" s="295"/>
      <c r="N17" s="295"/>
      <c r="O17" s="295"/>
      <c r="P17" s="295"/>
      <c r="Q17" s="296"/>
      <c r="R17" s="296"/>
      <c r="S17" s="296"/>
      <c r="T17" s="302"/>
      <c r="U17" s="302"/>
      <c r="V17" s="302"/>
      <c r="W17" s="302"/>
      <c r="X17" s="302"/>
      <c r="Y17" s="302"/>
      <c r="Z17" s="304"/>
      <c r="AA17" s="300"/>
      <c r="AB17" s="302"/>
      <c r="AC17" s="303"/>
      <c r="AD17" s="302"/>
      <c r="AE17" s="302"/>
      <c r="AF17" s="302"/>
      <c r="AG17" s="302"/>
      <c r="AH17" s="302"/>
      <c r="AI17" s="302"/>
      <c r="AJ17" s="302"/>
      <c r="AK17" s="302"/>
      <c r="AL17" s="302"/>
      <c r="AM17" s="302"/>
      <c r="AN17" s="302"/>
      <c r="AO17" s="301"/>
      <c r="AP17" s="302"/>
      <c r="AQ17" s="302"/>
      <c r="AR17" s="302"/>
      <c r="AS17" s="158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  <c r="BK17" s="71"/>
      <c r="BL17" s="71"/>
      <c r="BM17" s="71"/>
      <c r="BN17" s="71"/>
    </row>
    <row r="18" spans="1:66" ht="14.25" x14ac:dyDescent="0.2">
      <c r="A18" s="296"/>
      <c r="B18" s="320"/>
      <c r="C18" s="321"/>
      <c r="D18" s="321"/>
      <c r="E18" s="202"/>
      <c r="F18" s="202"/>
      <c r="G18" s="147"/>
      <c r="H18" s="147"/>
      <c r="I18" s="147"/>
      <c r="J18" s="296"/>
      <c r="K18" s="296"/>
      <c r="L18" s="296"/>
      <c r="M18" s="295"/>
      <c r="N18" s="295"/>
      <c r="O18" s="295"/>
      <c r="P18" s="295"/>
      <c r="Q18" s="296"/>
      <c r="R18" s="296"/>
      <c r="S18" s="296"/>
      <c r="T18" s="302"/>
      <c r="U18" s="302"/>
      <c r="V18" s="302"/>
      <c r="W18" s="302"/>
      <c r="X18" s="302"/>
      <c r="Y18" s="302"/>
      <c r="Z18" s="302"/>
      <c r="AA18" s="300"/>
      <c r="AB18" s="304"/>
      <c r="AC18" s="302"/>
      <c r="AD18" s="303"/>
      <c r="AE18" s="302"/>
      <c r="AF18" s="302"/>
      <c r="AG18" s="302"/>
      <c r="AH18" s="302"/>
      <c r="AI18" s="302"/>
      <c r="AJ18" s="302"/>
      <c r="AK18" s="302"/>
      <c r="AL18" s="302"/>
      <c r="AM18" s="302"/>
      <c r="AN18" s="302"/>
      <c r="AO18" s="301"/>
      <c r="AP18" s="302"/>
      <c r="AQ18" s="302"/>
      <c r="AR18" s="302"/>
      <c r="AS18" s="158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  <c r="BJ18" s="71"/>
      <c r="BK18" s="71"/>
      <c r="BL18" s="71"/>
      <c r="BM18" s="71"/>
      <c r="BN18" s="71"/>
    </row>
    <row r="19" spans="1:66" ht="14.25" x14ac:dyDescent="0.2">
      <c r="A19" s="296"/>
      <c r="B19" s="320"/>
      <c r="C19" s="321"/>
      <c r="D19" s="321"/>
      <c r="E19" s="202"/>
      <c r="F19" s="202"/>
      <c r="G19" s="147"/>
      <c r="H19" s="147"/>
      <c r="I19" s="147"/>
      <c r="J19" s="296"/>
      <c r="K19" s="296"/>
      <c r="L19" s="296"/>
      <c r="M19" s="295"/>
      <c r="N19" s="295"/>
      <c r="O19" s="295"/>
      <c r="P19" s="295"/>
      <c r="Q19" s="296"/>
      <c r="R19" s="296"/>
      <c r="S19" s="296"/>
      <c r="T19" s="302"/>
      <c r="U19" s="302"/>
      <c r="V19" s="302"/>
      <c r="W19" s="302"/>
      <c r="X19" s="302"/>
      <c r="Y19" s="302"/>
      <c r="Z19" s="302"/>
      <c r="AA19" s="300"/>
      <c r="AB19" s="302"/>
      <c r="AC19" s="304"/>
      <c r="AD19" s="302"/>
      <c r="AE19" s="303"/>
      <c r="AF19" s="302"/>
      <c r="AG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158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  <c r="BK19" s="71"/>
      <c r="BL19" s="71"/>
      <c r="BM19" s="71"/>
      <c r="BN19" s="71"/>
    </row>
    <row r="20" spans="1:66" ht="14.25" x14ac:dyDescent="0.2">
      <c r="A20" s="296"/>
      <c r="B20" s="320"/>
      <c r="C20" s="320"/>
      <c r="D20" s="321"/>
      <c r="E20" s="202"/>
      <c r="F20" s="202"/>
      <c r="G20" s="147"/>
      <c r="H20" s="147"/>
      <c r="I20" s="147"/>
      <c r="J20" s="296"/>
      <c r="K20" s="296"/>
      <c r="L20" s="296"/>
      <c r="M20" s="295"/>
      <c r="N20" s="295"/>
      <c r="O20" s="295"/>
      <c r="P20" s="295"/>
      <c r="Q20" s="296"/>
      <c r="R20" s="296"/>
      <c r="S20" s="296"/>
      <c r="T20" s="302"/>
      <c r="U20" s="302"/>
      <c r="V20" s="302"/>
      <c r="W20" s="302"/>
      <c r="X20" s="302"/>
      <c r="Y20" s="302"/>
      <c r="Z20" s="302"/>
      <c r="AA20" s="300"/>
      <c r="AB20" s="302"/>
      <c r="AC20" s="302"/>
      <c r="AD20" s="304"/>
      <c r="AE20" s="302"/>
      <c r="AF20" s="303"/>
      <c r="AG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158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</row>
    <row r="21" spans="1:66" ht="14.25" x14ac:dyDescent="0.2">
      <c r="A21" s="296"/>
      <c r="B21" s="320"/>
      <c r="C21" s="320"/>
      <c r="D21" s="320"/>
      <c r="E21" s="202"/>
      <c r="F21" s="202"/>
      <c r="G21" s="147"/>
      <c r="H21" s="147"/>
      <c r="I21" s="147"/>
      <c r="J21" s="296"/>
      <c r="K21" s="296"/>
      <c r="L21" s="296"/>
      <c r="M21" s="295"/>
      <c r="N21" s="295"/>
      <c r="O21" s="295"/>
      <c r="P21" s="295"/>
      <c r="Q21" s="296"/>
      <c r="R21" s="296"/>
      <c r="S21" s="296"/>
      <c r="T21" s="302"/>
      <c r="U21" s="302"/>
      <c r="V21" s="302"/>
      <c r="W21" s="302"/>
      <c r="X21" s="302"/>
      <c r="Y21" s="302"/>
      <c r="Z21" s="302"/>
      <c r="AA21" s="300"/>
      <c r="AB21" s="302"/>
      <c r="AC21" s="302"/>
      <c r="AD21" s="302"/>
      <c r="AE21" s="304"/>
      <c r="AF21" s="302"/>
      <c r="AG21" s="303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158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  <c r="BE21" s="71"/>
      <c r="BF21" s="71"/>
      <c r="BG21" s="71"/>
      <c r="BH21" s="71"/>
      <c r="BI21" s="71"/>
      <c r="BJ21" s="71"/>
      <c r="BK21" s="71"/>
      <c r="BL21" s="71"/>
      <c r="BM21" s="71"/>
      <c r="BN21" s="71"/>
    </row>
    <row r="22" spans="1:66" ht="14.25" x14ac:dyDescent="0.2">
      <c r="A22" s="296"/>
      <c r="B22" s="147"/>
      <c r="C22" s="202"/>
      <c r="D22" s="202"/>
      <c r="E22" s="147"/>
      <c r="F22" s="202"/>
      <c r="G22" s="147"/>
      <c r="H22" s="147"/>
      <c r="I22" s="147"/>
      <c r="J22" s="296"/>
      <c r="K22" s="296"/>
      <c r="L22" s="296"/>
      <c r="M22" s="295"/>
      <c r="N22" s="295"/>
      <c r="O22" s="295"/>
      <c r="P22" s="295"/>
      <c r="Q22" s="296"/>
      <c r="R22" s="296"/>
      <c r="S22" s="296"/>
      <c r="T22" s="302"/>
      <c r="U22" s="302"/>
      <c r="V22" s="302"/>
      <c r="W22" s="302"/>
      <c r="X22" s="302"/>
      <c r="Y22" s="302"/>
      <c r="Z22" s="302"/>
      <c r="AA22" s="300"/>
      <c r="AB22" s="302"/>
      <c r="AC22" s="302"/>
      <c r="AD22" s="302"/>
      <c r="AE22" s="302"/>
      <c r="AF22" s="304"/>
      <c r="AG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158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  <c r="BJ22" s="71"/>
      <c r="BK22" s="71"/>
      <c r="BL22" s="71"/>
      <c r="BM22" s="71"/>
      <c r="BN22" s="71"/>
    </row>
    <row r="23" spans="1:66" ht="14.25" x14ac:dyDescent="0.2">
      <c r="A23" s="296"/>
      <c r="B23" s="147"/>
      <c r="C23" s="202"/>
      <c r="D23" s="202"/>
      <c r="E23" s="147"/>
      <c r="F23" s="202"/>
      <c r="G23" s="147"/>
      <c r="H23" s="147"/>
      <c r="I23" s="147"/>
      <c r="J23" s="296"/>
      <c r="K23" s="296"/>
      <c r="L23" s="296"/>
      <c r="M23" s="295"/>
      <c r="N23" s="295"/>
      <c r="O23" s="295"/>
      <c r="P23" s="295"/>
      <c r="Q23" s="296"/>
      <c r="R23" s="296"/>
      <c r="S23" s="296"/>
      <c r="T23" s="302"/>
      <c r="U23" s="302"/>
      <c r="V23" s="302"/>
      <c r="W23" s="302"/>
      <c r="X23" s="302"/>
      <c r="Y23" s="302"/>
      <c r="Z23" s="302"/>
      <c r="AA23" s="300"/>
      <c r="AB23" s="302"/>
      <c r="AC23" s="302"/>
      <c r="AD23" s="302"/>
      <c r="AE23" s="302"/>
      <c r="AF23" s="302"/>
      <c r="AG23" s="304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158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  <c r="BK23" s="71"/>
      <c r="BL23" s="71"/>
      <c r="BM23" s="71"/>
      <c r="BN23" s="71"/>
    </row>
    <row r="24" spans="1:66" ht="14.25" x14ac:dyDescent="0.2">
      <c r="A24" s="296"/>
      <c r="B24" s="147"/>
      <c r="C24" s="202"/>
      <c r="D24" s="202"/>
      <c r="E24" s="147"/>
      <c r="F24" s="202"/>
      <c r="G24" s="147"/>
      <c r="H24" s="147"/>
      <c r="I24" s="147"/>
      <c r="J24" s="296"/>
      <c r="K24" s="296"/>
      <c r="L24" s="296"/>
      <c r="M24" s="295"/>
      <c r="N24" s="295"/>
      <c r="O24" s="295"/>
      <c r="P24" s="295"/>
      <c r="Q24" s="296"/>
      <c r="R24" s="296"/>
      <c r="S24" s="296"/>
      <c r="T24" s="302"/>
      <c r="U24" s="302"/>
      <c r="V24" s="302"/>
      <c r="W24" s="302"/>
      <c r="X24" s="302"/>
      <c r="Y24" s="302"/>
      <c r="Z24" s="302"/>
      <c r="AA24" s="300"/>
      <c r="AB24" s="302"/>
      <c r="AC24" s="302"/>
      <c r="AD24" s="302"/>
      <c r="AE24" s="302"/>
      <c r="AF24" s="302"/>
      <c r="AG24" s="302"/>
      <c r="AH24" s="304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158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  <c r="BH24" s="71"/>
      <c r="BI24" s="71"/>
      <c r="BJ24" s="71"/>
      <c r="BK24" s="71"/>
      <c r="BL24" s="71"/>
      <c r="BM24" s="71"/>
      <c r="BN24" s="71"/>
    </row>
    <row r="25" spans="1:66" ht="14.25" x14ac:dyDescent="0.2">
      <c r="A25" s="296"/>
      <c r="B25" s="147"/>
      <c r="C25" s="202"/>
      <c r="D25" s="202"/>
      <c r="E25" s="147"/>
      <c r="F25" s="202"/>
      <c r="G25" s="147"/>
      <c r="H25" s="147"/>
      <c r="I25" s="147"/>
      <c r="J25" s="296"/>
      <c r="K25" s="296"/>
      <c r="L25" s="296"/>
      <c r="M25" s="295"/>
      <c r="N25" s="295"/>
      <c r="O25" s="295"/>
      <c r="P25" s="295"/>
      <c r="Q25" s="296"/>
      <c r="R25" s="296"/>
      <c r="S25" s="296"/>
      <c r="T25" s="302"/>
      <c r="U25" s="302"/>
      <c r="V25" s="302"/>
      <c r="W25" s="302"/>
      <c r="X25" s="302"/>
      <c r="Y25" s="302"/>
      <c r="Z25" s="302"/>
      <c r="AA25" s="300"/>
      <c r="AB25" s="302"/>
      <c r="AC25" s="302"/>
      <c r="AD25" s="302"/>
      <c r="AE25" s="302"/>
      <c r="AF25" s="302"/>
      <c r="AG25" s="302"/>
      <c r="AH25" s="302"/>
      <c r="AI25" s="304"/>
      <c r="AJ25" s="302"/>
      <c r="AK25" s="302"/>
      <c r="AL25" s="302"/>
      <c r="AM25" s="302"/>
      <c r="AN25" s="302"/>
      <c r="AO25" s="302"/>
      <c r="AP25" s="302"/>
      <c r="AQ25" s="302"/>
      <c r="AR25" s="302"/>
      <c r="AS25" s="158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  <c r="BJ25" s="71"/>
      <c r="BK25" s="71"/>
      <c r="BL25" s="71"/>
      <c r="BM25" s="71"/>
      <c r="BN25" s="71"/>
    </row>
    <row r="26" spans="1:66" ht="14.25" x14ac:dyDescent="0.2">
      <c r="A26" s="296"/>
      <c r="B26" s="147"/>
      <c r="C26" s="202"/>
      <c r="D26" s="202"/>
      <c r="E26" s="147"/>
      <c r="F26" s="202"/>
      <c r="G26" s="147"/>
      <c r="H26" s="147"/>
      <c r="I26" s="147"/>
      <c r="J26" s="296"/>
      <c r="K26" s="296"/>
      <c r="L26" s="296"/>
      <c r="M26" s="295"/>
      <c r="N26" s="295"/>
      <c r="O26" s="295"/>
      <c r="P26" s="295"/>
      <c r="Q26" s="296"/>
      <c r="R26" s="296"/>
      <c r="S26" s="296"/>
      <c r="T26" s="302"/>
      <c r="U26" s="302"/>
      <c r="V26" s="302"/>
      <c r="W26" s="302"/>
      <c r="X26" s="302"/>
      <c r="Y26" s="302"/>
      <c r="Z26" s="302"/>
      <c r="AA26" s="300"/>
      <c r="AB26" s="302"/>
      <c r="AC26" s="302"/>
      <c r="AD26" s="302"/>
      <c r="AE26" s="302"/>
      <c r="AF26" s="302"/>
      <c r="AG26" s="302"/>
      <c r="AH26" s="302"/>
      <c r="AI26" s="302"/>
      <c r="AJ26" s="304"/>
      <c r="AK26" s="302"/>
      <c r="AL26" s="302"/>
      <c r="AM26" s="302"/>
      <c r="AN26" s="302"/>
      <c r="AO26" s="302"/>
      <c r="AP26" s="302"/>
      <c r="AQ26" s="302"/>
      <c r="AR26" s="302"/>
      <c r="AS26" s="158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  <c r="BN26" s="71"/>
    </row>
    <row r="27" spans="1:66" x14ac:dyDescent="0.2">
      <c r="A27" s="296"/>
      <c r="B27" s="296"/>
      <c r="C27" s="296"/>
      <c r="D27" s="296"/>
      <c r="E27" s="296"/>
      <c r="F27" s="296"/>
      <c r="G27" s="296"/>
      <c r="H27" s="296"/>
      <c r="I27" s="296"/>
      <c r="J27" s="296"/>
      <c r="K27" s="296"/>
      <c r="L27" s="296"/>
      <c r="M27" s="295"/>
      <c r="N27" s="295"/>
      <c r="O27" s="295"/>
      <c r="P27" s="295"/>
      <c r="Q27" s="296"/>
      <c r="R27" s="296"/>
      <c r="S27" s="296"/>
      <c r="T27" s="302"/>
      <c r="U27" s="302"/>
      <c r="V27" s="302"/>
      <c r="W27" s="302"/>
      <c r="X27" s="302"/>
      <c r="Y27" s="302"/>
      <c r="Z27" s="302"/>
      <c r="AA27" s="300"/>
      <c r="AB27" s="302"/>
      <c r="AC27" s="302"/>
      <c r="AD27" s="302"/>
      <c r="AE27" s="302"/>
      <c r="AF27" s="302"/>
      <c r="AG27" s="302"/>
      <c r="AH27" s="302"/>
      <c r="AI27" s="302"/>
      <c r="AJ27" s="302"/>
      <c r="AK27" s="304"/>
      <c r="AL27" s="302"/>
      <c r="AM27" s="302"/>
      <c r="AN27" s="302"/>
      <c r="AO27" s="302"/>
      <c r="AP27" s="302"/>
      <c r="AQ27" s="302"/>
      <c r="AR27" s="302"/>
      <c r="AS27" s="158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  <c r="BN27" s="71"/>
    </row>
    <row r="28" spans="1:66" x14ac:dyDescent="0.2">
      <c r="A28" s="296"/>
      <c r="B28" s="296"/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5"/>
      <c r="N28" s="295"/>
      <c r="O28" s="295"/>
      <c r="P28" s="295"/>
      <c r="Q28" s="296"/>
      <c r="R28" s="296"/>
      <c r="S28" s="296"/>
      <c r="T28" s="302"/>
      <c r="U28" s="302"/>
      <c r="V28" s="300"/>
      <c r="W28" s="302"/>
      <c r="X28" s="302"/>
      <c r="Y28" s="302"/>
      <c r="Z28" s="302"/>
      <c r="AA28" s="302"/>
      <c r="AB28" s="302"/>
      <c r="AC28" s="302"/>
      <c r="AD28" s="302"/>
      <c r="AE28" s="302"/>
      <c r="AF28" s="302"/>
      <c r="AG28" s="304"/>
      <c r="AH28" s="302"/>
      <c r="AI28" s="302"/>
      <c r="AJ28" s="302"/>
      <c r="AK28" s="302"/>
      <c r="AL28" s="302"/>
      <c r="AM28" s="302"/>
      <c r="AN28" s="305"/>
      <c r="AO28" s="294"/>
      <c r="AP28" s="294"/>
      <c r="AQ28" s="294"/>
      <c r="AR28" s="294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</row>
    <row r="29" spans="1:66" x14ac:dyDescent="0.2">
      <c r="A29" s="295"/>
      <c r="B29" s="296"/>
      <c r="C29" s="295"/>
      <c r="D29" s="315"/>
      <c r="E29" s="295"/>
      <c r="F29" s="296"/>
      <c r="G29" s="296"/>
      <c r="H29" s="296"/>
      <c r="I29" s="296"/>
      <c r="J29" s="296"/>
      <c r="K29" s="296"/>
      <c r="L29" s="296"/>
      <c r="M29" s="295"/>
      <c r="N29" s="295"/>
      <c r="O29" s="295"/>
      <c r="P29" s="295"/>
      <c r="Q29" s="301"/>
      <c r="R29" s="301"/>
      <c r="S29" s="302"/>
      <c r="T29" s="302"/>
      <c r="U29" s="302"/>
      <c r="V29" s="300"/>
      <c r="W29" s="301"/>
      <c r="X29" s="301"/>
      <c r="Y29" s="301"/>
      <c r="Z29" s="302"/>
      <c r="AA29" s="301"/>
      <c r="AB29" s="302"/>
      <c r="AC29" s="302"/>
      <c r="AD29" s="302"/>
      <c r="AE29" s="302"/>
      <c r="AF29" s="302"/>
      <c r="AG29" s="302"/>
      <c r="AH29" s="306"/>
      <c r="AI29" s="302"/>
      <c r="AJ29" s="302"/>
      <c r="AK29" s="302"/>
      <c r="AL29" s="302"/>
      <c r="AM29" s="302"/>
      <c r="AN29" s="305"/>
      <c r="AO29" s="294"/>
      <c r="AP29" s="294"/>
      <c r="AQ29" s="294"/>
      <c r="AR29" s="294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</row>
    <row r="30" spans="1:66" x14ac:dyDescent="0.2">
      <c r="A30" s="295"/>
      <c r="B30" s="296"/>
      <c r="C30" s="295"/>
      <c r="D30" s="315"/>
      <c r="E30" s="295"/>
      <c r="F30" s="296"/>
      <c r="G30" s="296"/>
      <c r="H30" s="296"/>
      <c r="I30" s="296"/>
      <c r="J30" s="296"/>
      <c r="K30" s="296"/>
      <c r="L30" s="296"/>
      <c r="M30" s="295"/>
      <c r="N30" s="295"/>
      <c r="O30" s="295"/>
      <c r="P30" s="295"/>
      <c r="Q30" s="302"/>
      <c r="R30" s="302"/>
      <c r="S30" s="302"/>
      <c r="T30" s="302"/>
      <c r="U30" s="302"/>
      <c r="V30" s="300"/>
      <c r="W30" s="302"/>
      <c r="X30" s="302"/>
      <c r="Y30" s="302"/>
      <c r="Z30" s="302"/>
      <c r="AA30" s="302"/>
      <c r="AB30" s="302"/>
      <c r="AC30" s="302"/>
      <c r="AD30" s="302"/>
      <c r="AE30" s="302"/>
      <c r="AF30" s="302"/>
      <c r="AG30" s="302"/>
      <c r="AH30" s="302"/>
      <c r="AI30" s="304"/>
      <c r="AJ30" s="302"/>
      <c r="AK30" s="302"/>
      <c r="AL30" s="302"/>
      <c r="AM30" s="302"/>
      <c r="AN30" s="305"/>
      <c r="AO30" s="294"/>
      <c r="AP30" s="294"/>
      <c r="AQ30" s="294"/>
      <c r="AR30" s="294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1"/>
      <c r="BF30" s="71"/>
      <c r="BG30" s="71"/>
      <c r="BH30" s="71"/>
      <c r="BI30" s="71"/>
    </row>
    <row r="31" spans="1:66" x14ac:dyDescent="0.2">
      <c r="A31" s="295"/>
      <c r="B31" s="296"/>
      <c r="C31" s="295"/>
      <c r="D31" s="316"/>
      <c r="E31" s="295"/>
      <c r="F31" s="296"/>
      <c r="G31" s="296"/>
      <c r="H31" s="296"/>
      <c r="I31" s="296"/>
      <c r="J31" s="296"/>
      <c r="K31" s="296"/>
      <c r="L31" s="296"/>
      <c r="M31" s="295"/>
      <c r="N31" s="295"/>
      <c r="O31" s="295"/>
      <c r="P31" s="295"/>
      <c r="Q31" s="302"/>
      <c r="R31" s="302"/>
      <c r="S31" s="302"/>
      <c r="T31" s="302"/>
      <c r="U31" s="302"/>
      <c r="V31" s="300"/>
      <c r="W31" s="302"/>
      <c r="X31" s="302"/>
      <c r="Y31" s="302"/>
      <c r="Z31" s="302"/>
      <c r="AA31" s="302"/>
      <c r="AB31" s="302"/>
      <c r="AC31" s="302"/>
      <c r="AD31" s="302"/>
      <c r="AE31" s="302"/>
      <c r="AF31" s="302"/>
      <c r="AG31" s="302"/>
      <c r="AH31" s="302"/>
      <c r="AI31" s="302"/>
      <c r="AJ31" s="304"/>
      <c r="AK31" s="302"/>
      <c r="AL31" s="302"/>
      <c r="AM31" s="302"/>
      <c r="AN31" s="305"/>
      <c r="AO31" s="294"/>
      <c r="AP31" s="294"/>
      <c r="AQ31" s="294"/>
      <c r="AR31" s="294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</row>
    <row r="32" spans="1:66" x14ac:dyDescent="0.2">
      <c r="A32" s="295"/>
      <c r="B32" s="295"/>
      <c r="C32" s="317"/>
      <c r="D32" s="291"/>
      <c r="E32" s="291"/>
      <c r="F32" s="296"/>
      <c r="G32" s="296"/>
      <c r="H32" s="296"/>
      <c r="I32" s="296"/>
      <c r="J32" s="296"/>
      <c r="K32" s="296"/>
      <c r="L32" s="296"/>
      <c r="M32" s="295"/>
      <c r="N32" s="295"/>
      <c r="O32" s="295"/>
      <c r="P32" s="295"/>
      <c r="Q32" s="302"/>
      <c r="R32" s="302"/>
      <c r="S32" s="302"/>
      <c r="T32" s="302"/>
      <c r="U32" s="302"/>
      <c r="V32" s="300"/>
      <c r="W32" s="302"/>
      <c r="X32" s="302"/>
      <c r="Y32" s="302"/>
      <c r="Z32" s="302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4"/>
      <c r="AL32" s="302"/>
      <c r="AM32" s="302"/>
      <c r="AN32" s="305"/>
      <c r="AO32" s="294"/>
      <c r="AP32" s="294"/>
      <c r="AQ32" s="294"/>
      <c r="AR32" s="294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  <c r="BH32" s="71"/>
      <c r="BI32" s="71"/>
    </row>
    <row r="33" spans="1:61" x14ac:dyDescent="0.2">
      <c r="A33" s="295"/>
      <c r="B33" s="295"/>
      <c r="C33" s="317"/>
      <c r="D33" s="291"/>
      <c r="E33" s="291"/>
      <c r="F33" s="296"/>
      <c r="G33" s="296"/>
      <c r="H33" s="296"/>
      <c r="I33" s="296"/>
      <c r="J33" s="296"/>
      <c r="K33" s="296"/>
      <c r="L33" s="296"/>
      <c r="M33" s="295"/>
      <c r="N33" s="295"/>
      <c r="O33" s="295"/>
      <c r="P33" s="295"/>
      <c r="Q33" s="307"/>
      <c r="R33" s="307"/>
      <c r="S33" s="307"/>
      <c r="T33" s="307"/>
      <c r="U33" s="307"/>
      <c r="V33" s="307"/>
      <c r="W33" s="307"/>
      <c r="X33" s="307"/>
      <c r="Y33" s="307"/>
      <c r="Z33" s="307"/>
      <c r="AA33" s="307"/>
      <c r="AB33" s="307"/>
      <c r="AC33" s="307"/>
      <c r="AD33" s="307"/>
      <c r="AE33" s="307"/>
      <c r="AF33" s="307"/>
      <c r="AG33" s="307"/>
      <c r="AH33" s="307"/>
      <c r="AI33" s="307"/>
      <c r="AJ33" s="307"/>
      <c r="AK33" s="307"/>
      <c r="AL33" s="305"/>
      <c r="AM33" s="305"/>
      <c r="AN33" s="294"/>
      <c r="AO33" s="294"/>
      <c r="AP33" s="294"/>
      <c r="AQ33" s="294"/>
      <c r="AR33" s="294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/>
      <c r="BG33" s="71"/>
      <c r="BH33" s="71"/>
      <c r="BI33" s="71"/>
    </row>
    <row r="34" spans="1:61" x14ac:dyDescent="0.2">
      <c r="A34" s="295"/>
      <c r="B34" s="294" t="str">
        <f t="array" ref="B34:B41">TRANSPOSE(B3:I3)</f>
        <v>I1</v>
      </c>
      <c r="C34" s="317"/>
      <c r="D34" s="291"/>
      <c r="E34" s="291"/>
      <c r="F34" s="296"/>
      <c r="G34" s="296"/>
      <c r="H34" s="296"/>
      <c r="I34" s="296"/>
      <c r="J34" s="296"/>
      <c r="K34" s="296"/>
      <c r="L34" s="296"/>
      <c r="M34" s="295"/>
      <c r="N34" s="295"/>
      <c r="O34" s="295"/>
      <c r="P34" s="295"/>
      <c r="Q34" s="295"/>
      <c r="R34" s="295"/>
      <c r="S34" s="295"/>
      <c r="T34" s="295"/>
      <c r="U34" s="295"/>
      <c r="V34" s="295"/>
      <c r="W34" s="295"/>
      <c r="X34" s="295"/>
      <c r="Y34" s="295"/>
      <c r="Z34" s="295"/>
      <c r="AA34" s="295"/>
      <c r="AB34" s="295"/>
      <c r="AC34" s="295"/>
      <c r="AD34" s="295"/>
      <c r="AE34" s="295"/>
      <c r="AF34" s="295"/>
      <c r="AG34" s="295"/>
      <c r="AH34" s="295"/>
      <c r="AI34" s="295"/>
      <c r="AJ34" s="295"/>
      <c r="AK34" s="295"/>
      <c r="AL34" s="294"/>
      <c r="AM34" s="294"/>
      <c r="AN34" s="294"/>
      <c r="AO34" s="294"/>
      <c r="AP34" s="294"/>
      <c r="AQ34" s="294"/>
      <c r="AR34" s="294"/>
      <c r="AS34" s="71"/>
      <c r="AT34" s="71"/>
      <c r="AU34" s="71"/>
      <c r="AV34" s="71"/>
      <c r="AW34" s="71"/>
      <c r="AX34" s="71"/>
      <c r="AY34" s="71"/>
      <c r="AZ34" s="71"/>
      <c r="BA34" s="71"/>
      <c r="BB34" s="71"/>
      <c r="BC34" s="71"/>
      <c r="BD34" s="71"/>
      <c r="BE34" s="71"/>
      <c r="BF34" s="71"/>
      <c r="BG34" s="71"/>
      <c r="BH34" s="71"/>
      <c r="BI34" s="71"/>
    </row>
    <row r="35" spans="1:61" x14ac:dyDescent="0.2">
      <c r="A35" s="294"/>
      <c r="B35" s="294" t="str">
        <v>I2</v>
      </c>
      <c r="C35" s="317"/>
      <c r="D35" s="291"/>
      <c r="E35" s="291"/>
      <c r="F35" s="296"/>
      <c r="G35" s="296"/>
      <c r="H35" s="296"/>
      <c r="I35" s="296"/>
      <c r="J35" s="296"/>
      <c r="K35" s="296"/>
      <c r="L35" s="296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E35" s="295"/>
      <c r="AF35" s="295"/>
      <c r="AG35" s="295"/>
      <c r="AH35" s="295"/>
      <c r="AI35" s="295"/>
      <c r="AJ35" s="295"/>
      <c r="AK35" s="295"/>
      <c r="AL35" s="294"/>
      <c r="AM35" s="294"/>
      <c r="AN35" s="294"/>
      <c r="AO35" s="294"/>
      <c r="AP35" s="294"/>
      <c r="AQ35" s="294"/>
      <c r="AR35" s="294"/>
      <c r="AS35" s="71"/>
      <c r="AT35" s="71"/>
      <c r="AU35" s="71"/>
      <c r="AV35" s="71"/>
      <c r="AW35" s="71"/>
      <c r="AX35" s="71"/>
      <c r="AY35" s="71"/>
      <c r="AZ35" s="71"/>
      <c r="BA35" s="71"/>
      <c r="BB35" s="71"/>
      <c r="BC35" s="71"/>
      <c r="BD35" s="71"/>
      <c r="BE35" s="71"/>
      <c r="BF35" s="71"/>
      <c r="BG35" s="71"/>
      <c r="BH35" s="71"/>
      <c r="BI35" s="71"/>
    </row>
    <row r="36" spans="1:61" x14ac:dyDescent="0.2">
      <c r="A36" s="294"/>
      <c r="B36" s="294" t="str">
        <v>I3</v>
      </c>
      <c r="C36" s="294"/>
      <c r="D36" s="294"/>
      <c r="E36" s="295"/>
      <c r="F36" s="296"/>
      <c r="G36" s="296"/>
      <c r="H36" s="296"/>
      <c r="I36" s="296"/>
      <c r="J36" s="296"/>
      <c r="K36" s="296"/>
      <c r="L36" s="296"/>
      <c r="M36" s="295"/>
      <c r="N36" s="295"/>
      <c r="O36" s="295"/>
      <c r="P36" s="295"/>
      <c r="Q36" s="295"/>
      <c r="R36" s="295"/>
      <c r="S36" s="295"/>
      <c r="T36" s="295"/>
      <c r="U36" s="295"/>
      <c r="V36" s="295"/>
      <c r="W36" s="295"/>
      <c r="X36" s="295"/>
      <c r="Y36" s="295"/>
      <c r="Z36" s="295"/>
      <c r="AA36" s="295"/>
      <c r="AB36" s="295"/>
      <c r="AC36" s="295"/>
      <c r="AD36" s="295"/>
      <c r="AE36" s="295"/>
      <c r="AF36" s="295"/>
      <c r="AG36" s="295"/>
      <c r="AH36" s="295"/>
      <c r="AI36" s="295"/>
      <c r="AJ36" s="295"/>
      <c r="AK36" s="295"/>
      <c r="AL36" s="294"/>
      <c r="AM36" s="294"/>
      <c r="AN36" s="294"/>
      <c r="AO36" s="294"/>
      <c r="AP36" s="294"/>
      <c r="AQ36" s="294"/>
      <c r="AR36" s="294"/>
      <c r="AS36" s="71"/>
      <c r="AT36" s="71"/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  <c r="BH36" s="71"/>
      <c r="BI36" s="71"/>
    </row>
    <row r="37" spans="1:61" x14ac:dyDescent="0.2">
      <c r="A37" s="294"/>
      <c r="B37" s="294">
        <v>0</v>
      </c>
      <c r="C37" s="294"/>
      <c r="D37" s="294"/>
      <c r="E37" s="295"/>
      <c r="F37" s="296"/>
      <c r="G37" s="296"/>
      <c r="H37" s="296"/>
      <c r="I37" s="296"/>
      <c r="J37" s="296"/>
      <c r="K37" s="296"/>
      <c r="L37" s="296"/>
      <c r="M37" s="295"/>
      <c r="N37" s="295"/>
      <c r="O37" s="295"/>
      <c r="P37" s="295"/>
      <c r="Q37" s="295"/>
      <c r="R37" s="295"/>
      <c r="S37" s="295"/>
      <c r="T37" s="295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  <c r="AE37" s="295"/>
      <c r="AF37" s="295"/>
      <c r="AG37" s="295"/>
      <c r="AH37" s="295"/>
      <c r="AI37" s="295"/>
      <c r="AJ37" s="295"/>
      <c r="AK37" s="295"/>
      <c r="AL37" s="294"/>
      <c r="AM37" s="294"/>
      <c r="AN37" s="294"/>
      <c r="AO37" s="294"/>
      <c r="AP37" s="294"/>
      <c r="AQ37" s="294"/>
      <c r="AR37" s="294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</row>
    <row r="38" spans="1:61" x14ac:dyDescent="0.2">
      <c r="A38" s="294"/>
      <c r="B38" s="294">
        <v>0</v>
      </c>
      <c r="C38" s="294"/>
      <c r="D38" s="294"/>
      <c r="E38" s="295"/>
      <c r="F38" s="296"/>
      <c r="G38" s="296"/>
      <c r="H38" s="296"/>
      <c r="I38" s="296"/>
      <c r="J38" s="296"/>
      <c r="K38" s="296"/>
      <c r="L38" s="296"/>
      <c r="M38" s="295"/>
      <c r="N38" s="295"/>
      <c r="O38" s="295"/>
      <c r="P38" s="295"/>
      <c r="Q38" s="295"/>
      <c r="R38" s="295"/>
      <c r="S38" s="295"/>
      <c r="T38" s="295"/>
      <c r="U38" s="295"/>
      <c r="V38" s="295"/>
      <c r="W38" s="295"/>
      <c r="X38" s="295"/>
      <c r="Y38" s="295"/>
      <c r="Z38" s="295"/>
      <c r="AA38" s="295"/>
      <c r="AB38" s="295"/>
      <c r="AC38" s="295"/>
      <c r="AD38" s="295"/>
      <c r="AE38" s="295"/>
      <c r="AF38" s="295"/>
      <c r="AG38" s="295"/>
      <c r="AH38" s="295"/>
      <c r="AI38" s="295"/>
      <c r="AJ38" s="295"/>
      <c r="AK38" s="295"/>
      <c r="AL38" s="294"/>
      <c r="AM38" s="294"/>
      <c r="AN38" s="294"/>
      <c r="AO38" s="294"/>
      <c r="AP38" s="294"/>
      <c r="AQ38" s="294"/>
      <c r="AR38" s="294"/>
      <c r="AS38" s="71"/>
      <c r="AT38" s="71"/>
      <c r="AU38" s="71"/>
      <c r="AV38" s="71"/>
      <c r="AW38" s="71"/>
      <c r="AX38" s="71"/>
      <c r="AY38" s="71"/>
      <c r="AZ38" s="71"/>
      <c r="BA38" s="71"/>
      <c r="BB38" s="71"/>
      <c r="BC38" s="71"/>
      <c r="BD38" s="71"/>
      <c r="BE38" s="71"/>
      <c r="BF38" s="71"/>
      <c r="BG38" s="71"/>
      <c r="BH38" s="71"/>
      <c r="BI38" s="71"/>
    </row>
    <row r="39" spans="1:61" ht="14.25" x14ac:dyDescent="0.2">
      <c r="A39" s="294"/>
      <c r="B39" s="294">
        <v>0</v>
      </c>
      <c r="C39" s="318"/>
      <c r="D39" s="315"/>
      <c r="E39" s="316"/>
      <c r="F39" s="296"/>
      <c r="G39" s="296"/>
      <c r="H39" s="296"/>
      <c r="I39" s="296"/>
      <c r="J39" s="296"/>
      <c r="K39" s="296"/>
      <c r="L39" s="296"/>
      <c r="M39" s="295"/>
      <c r="N39" s="295"/>
      <c r="O39" s="295"/>
      <c r="P39" s="295"/>
      <c r="Q39" s="295"/>
      <c r="R39" s="295"/>
      <c r="S39" s="295"/>
      <c r="T39" s="295"/>
      <c r="U39" s="295"/>
      <c r="V39" s="295"/>
      <c r="W39" s="295"/>
      <c r="X39" s="295"/>
      <c r="Y39" s="295"/>
      <c r="Z39" s="295"/>
      <c r="AA39" s="295"/>
      <c r="AB39" s="295"/>
      <c r="AC39" s="295"/>
      <c r="AD39" s="295"/>
      <c r="AE39" s="295"/>
      <c r="AF39" s="295"/>
      <c r="AG39" s="295"/>
      <c r="AH39" s="295"/>
      <c r="AI39" s="295"/>
      <c r="AJ39" s="295"/>
      <c r="AK39" s="295"/>
      <c r="AL39" s="294"/>
      <c r="AM39" s="294"/>
      <c r="AN39" s="294"/>
      <c r="AO39" s="294"/>
      <c r="AP39" s="294"/>
      <c r="AQ39" s="294"/>
      <c r="AR39" s="294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</row>
    <row r="40" spans="1:61" ht="14.25" x14ac:dyDescent="0.2">
      <c r="A40" s="294"/>
      <c r="B40" s="294">
        <v>0</v>
      </c>
      <c r="C40" s="318"/>
      <c r="D40" s="316"/>
      <c r="E40" s="316"/>
      <c r="F40" s="296"/>
      <c r="G40" s="296"/>
      <c r="H40" s="296"/>
      <c r="I40" s="296"/>
      <c r="J40" s="296"/>
      <c r="K40" s="296"/>
      <c r="L40" s="296"/>
      <c r="M40" s="295"/>
      <c r="N40" s="295"/>
      <c r="O40" s="295"/>
      <c r="P40" s="295"/>
      <c r="Q40" s="295"/>
      <c r="R40" s="295"/>
      <c r="S40" s="295"/>
      <c r="T40" s="295"/>
      <c r="U40" s="295"/>
      <c r="V40" s="295"/>
      <c r="W40" s="295"/>
      <c r="X40" s="295"/>
      <c r="Y40" s="295"/>
      <c r="Z40" s="295"/>
      <c r="AA40" s="295"/>
      <c r="AB40" s="295"/>
      <c r="AC40" s="295"/>
      <c r="AD40" s="295"/>
      <c r="AE40" s="295"/>
      <c r="AF40" s="295"/>
      <c r="AG40" s="295"/>
      <c r="AH40" s="295"/>
      <c r="AI40" s="295"/>
      <c r="AJ40" s="295"/>
      <c r="AK40" s="295"/>
      <c r="AL40" s="294"/>
      <c r="AM40" s="294"/>
      <c r="AN40" s="294"/>
      <c r="AO40" s="294"/>
      <c r="AP40" s="294"/>
      <c r="AQ40" s="294"/>
      <c r="AR40" s="294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</row>
    <row r="41" spans="1:61" ht="14.25" x14ac:dyDescent="0.2">
      <c r="A41" s="294"/>
      <c r="B41" s="294">
        <v>0</v>
      </c>
      <c r="C41" s="318"/>
      <c r="D41" s="316"/>
      <c r="E41" s="316"/>
      <c r="F41" s="296"/>
      <c r="G41" s="296"/>
      <c r="H41" s="296"/>
      <c r="I41" s="296"/>
      <c r="J41" s="296"/>
      <c r="K41" s="296"/>
      <c r="L41" s="296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295"/>
      <c r="AB41" s="295"/>
      <c r="AC41" s="295"/>
      <c r="AD41" s="295"/>
      <c r="AE41" s="295"/>
      <c r="AF41" s="295"/>
      <c r="AG41" s="295"/>
      <c r="AH41" s="295"/>
      <c r="AI41" s="295"/>
      <c r="AJ41" s="295"/>
      <c r="AK41" s="295"/>
      <c r="AL41" s="294"/>
      <c r="AM41" s="294"/>
      <c r="AN41" s="294"/>
      <c r="AO41" s="294"/>
      <c r="AP41" s="294"/>
      <c r="AQ41" s="294"/>
      <c r="AR41" s="294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</row>
    <row r="42" spans="1:61" ht="14.25" x14ac:dyDescent="0.2">
      <c r="A42" s="294"/>
      <c r="B42" s="294"/>
      <c r="C42" s="319"/>
      <c r="D42" s="316"/>
      <c r="E42" s="316"/>
      <c r="F42" s="296"/>
      <c r="G42" s="296"/>
      <c r="H42" s="296"/>
      <c r="I42" s="296"/>
      <c r="J42" s="296"/>
      <c r="K42" s="296"/>
      <c r="L42" s="296"/>
      <c r="M42" s="295"/>
      <c r="N42" s="295"/>
      <c r="O42" s="295"/>
      <c r="P42" s="295"/>
      <c r="Q42" s="295"/>
      <c r="R42" s="295"/>
      <c r="S42" s="295"/>
      <c r="T42" s="295"/>
      <c r="U42" s="295"/>
      <c r="V42" s="295"/>
      <c r="W42" s="295"/>
      <c r="X42" s="295"/>
      <c r="Y42" s="295"/>
      <c r="Z42" s="295"/>
      <c r="AA42" s="295"/>
      <c r="AB42" s="295"/>
      <c r="AC42" s="295"/>
      <c r="AD42" s="295"/>
      <c r="AE42" s="295"/>
      <c r="AF42" s="295"/>
      <c r="AG42" s="295"/>
      <c r="AH42" s="295"/>
      <c r="AI42" s="295"/>
      <c r="AJ42" s="295"/>
      <c r="AK42" s="295"/>
      <c r="AL42" s="294"/>
      <c r="AM42" s="294"/>
      <c r="AN42" s="294"/>
      <c r="AO42" s="294"/>
      <c r="AP42" s="294"/>
      <c r="AQ42" s="294"/>
      <c r="AR42" s="294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  <c r="BE42" s="71"/>
      <c r="BF42" s="71"/>
      <c r="BG42" s="71"/>
      <c r="BH42" s="71"/>
      <c r="BI42" s="71"/>
    </row>
    <row r="43" spans="1:61" ht="14.25" x14ac:dyDescent="0.2">
      <c r="A43" s="71"/>
      <c r="B43" s="71"/>
      <c r="C43" s="78"/>
      <c r="D43" s="74"/>
      <c r="E43" s="74"/>
      <c r="F43" s="73"/>
      <c r="G43" s="73"/>
      <c r="H43" s="73"/>
      <c r="I43" s="73"/>
      <c r="J43" s="295"/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295"/>
      <c r="V43" s="295"/>
      <c r="W43" s="295"/>
      <c r="X43" s="295"/>
      <c r="Y43" s="295"/>
      <c r="Z43" s="295"/>
      <c r="AA43" s="295"/>
      <c r="AB43" s="295"/>
      <c r="AC43" s="295"/>
      <c r="AD43" s="295"/>
      <c r="AE43" s="295"/>
      <c r="AF43" s="295"/>
      <c r="AG43" s="295"/>
      <c r="AH43" s="295"/>
      <c r="AI43" s="295"/>
      <c r="AJ43" s="295"/>
      <c r="AK43" s="295"/>
      <c r="AL43" s="294"/>
      <c r="AM43" s="294"/>
      <c r="AN43" s="294"/>
      <c r="AO43" s="294"/>
      <c r="AP43" s="294"/>
      <c r="AQ43" s="294"/>
      <c r="AR43" s="294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1"/>
      <c r="BF43" s="71"/>
      <c r="BG43" s="71"/>
      <c r="BH43" s="71"/>
      <c r="BI43" s="71"/>
    </row>
    <row r="44" spans="1:61" ht="14.25" x14ac:dyDescent="0.2">
      <c r="A44" s="71"/>
      <c r="B44" s="71"/>
      <c r="C44" s="78"/>
      <c r="D44" s="74"/>
      <c r="E44" s="74"/>
      <c r="F44" s="73"/>
      <c r="G44" s="73"/>
      <c r="H44" s="73"/>
      <c r="I44" s="73"/>
      <c r="J44" s="295"/>
      <c r="K44" s="295"/>
      <c r="L44" s="295"/>
      <c r="M44" s="295"/>
      <c r="N44" s="295"/>
      <c r="O44" s="295"/>
      <c r="P44" s="295"/>
      <c r="Q44" s="295"/>
      <c r="R44" s="295"/>
      <c r="S44" s="295"/>
      <c r="T44" s="295"/>
      <c r="U44" s="295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5"/>
      <c r="AJ44" s="295"/>
      <c r="AK44" s="295"/>
      <c r="AL44" s="294"/>
      <c r="AM44" s="294"/>
      <c r="AN44" s="294"/>
      <c r="AO44" s="294"/>
      <c r="AP44" s="294"/>
      <c r="AQ44" s="294"/>
      <c r="AR44" s="294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</row>
    <row r="45" spans="1:61" ht="14.25" x14ac:dyDescent="0.2">
      <c r="A45" s="71"/>
      <c r="B45" s="71"/>
      <c r="C45" s="78"/>
      <c r="D45" s="74"/>
      <c r="E45" s="74"/>
      <c r="F45" s="73"/>
      <c r="G45" s="73"/>
      <c r="H45" s="73"/>
      <c r="I45" s="73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5"/>
      <c r="AD45" s="295"/>
      <c r="AE45" s="295"/>
      <c r="AF45" s="295"/>
      <c r="AG45" s="295"/>
      <c r="AH45" s="295"/>
      <c r="AI45" s="295"/>
      <c r="AJ45" s="295"/>
      <c r="AK45" s="295"/>
      <c r="AL45" s="294"/>
      <c r="AM45" s="294"/>
      <c r="AN45" s="294"/>
      <c r="AO45" s="294"/>
      <c r="AP45" s="294"/>
      <c r="AQ45" s="294"/>
      <c r="AR45" s="294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</row>
    <row r="46" spans="1:61" ht="14.25" x14ac:dyDescent="0.2">
      <c r="A46" s="71"/>
      <c r="B46" s="71"/>
      <c r="C46" s="78"/>
      <c r="D46" s="74"/>
      <c r="E46" s="74"/>
      <c r="F46" s="73"/>
      <c r="G46" s="73"/>
      <c r="H46" s="73"/>
      <c r="I46" s="73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295"/>
      <c r="X46" s="295"/>
      <c r="Y46" s="295"/>
      <c r="Z46" s="295"/>
      <c r="AA46" s="295"/>
      <c r="AB46" s="295"/>
      <c r="AC46" s="295"/>
      <c r="AD46" s="295"/>
      <c r="AE46" s="295"/>
      <c r="AF46" s="295"/>
      <c r="AG46" s="295"/>
      <c r="AH46" s="295"/>
      <c r="AI46" s="295"/>
      <c r="AJ46" s="295"/>
      <c r="AK46" s="295"/>
      <c r="AL46" s="294"/>
      <c r="AM46" s="294"/>
      <c r="AN46" s="294"/>
      <c r="AO46" s="294"/>
      <c r="AP46" s="294"/>
      <c r="AQ46" s="294"/>
      <c r="AR46" s="294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1"/>
      <c r="BF46" s="71"/>
      <c r="BG46" s="71"/>
      <c r="BH46" s="71"/>
      <c r="BI46" s="71"/>
    </row>
    <row r="47" spans="1:61" ht="14.25" x14ac:dyDescent="0.2">
      <c r="A47" s="71"/>
      <c r="B47" s="71"/>
      <c r="C47" s="78"/>
      <c r="D47" s="74"/>
      <c r="E47" s="74"/>
      <c r="F47" s="73"/>
      <c r="G47" s="73"/>
      <c r="H47" s="73"/>
      <c r="I47" s="73"/>
      <c r="J47" s="295"/>
      <c r="K47" s="295"/>
      <c r="L47" s="295"/>
      <c r="M47" s="295"/>
      <c r="N47" s="295"/>
      <c r="O47" s="295"/>
      <c r="P47" s="295"/>
      <c r="Q47" s="295"/>
      <c r="R47" s="295"/>
      <c r="S47" s="295"/>
      <c r="T47" s="295"/>
      <c r="U47" s="295"/>
      <c r="V47" s="295"/>
      <c r="W47" s="295"/>
      <c r="X47" s="295"/>
      <c r="Y47" s="295"/>
      <c r="Z47" s="295"/>
      <c r="AA47" s="295"/>
      <c r="AB47" s="295"/>
      <c r="AC47" s="295"/>
      <c r="AD47" s="295"/>
      <c r="AE47" s="295"/>
      <c r="AF47" s="295"/>
      <c r="AG47" s="295"/>
      <c r="AH47" s="295"/>
      <c r="AI47" s="295"/>
      <c r="AJ47" s="295"/>
      <c r="AK47" s="295"/>
      <c r="AL47" s="294"/>
      <c r="AM47" s="294"/>
      <c r="AN47" s="294"/>
      <c r="AO47" s="294"/>
      <c r="AP47" s="294"/>
      <c r="AQ47" s="294"/>
      <c r="AR47" s="294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  <c r="BH47" s="71"/>
      <c r="BI47" s="71"/>
    </row>
    <row r="48" spans="1:61" ht="14.25" x14ac:dyDescent="0.2">
      <c r="A48" s="71"/>
      <c r="B48" s="71"/>
      <c r="C48" s="79"/>
      <c r="D48" s="74"/>
      <c r="E48" s="74"/>
      <c r="F48" s="73"/>
      <c r="G48" s="73"/>
      <c r="H48" s="73"/>
      <c r="I48" s="73"/>
      <c r="J48" s="295"/>
      <c r="K48" s="295"/>
      <c r="L48" s="295"/>
      <c r="M48" s="295"/>
      <c r="N48" s="295"/>
      <c r="O48" s="295"/>
      <c r="P48" s="295"/>
      <c r="Q48" s="295"/>
      <c r="R48" s="295"/>
      <c r="S48" s="295"/>
      <c r="T48" s="295"/>
      <c r="U48" s="295"/>
      <c r="V48" s="295"/>
      <c r="W48" s="295"/>
      <c r="X48" s="295"/>
      <c r="Y48" s="295"/>
      <c r="Z48" s="295"/>
      <c r="AA48" s="295"/>
      <c r="AB48" s="295"/>
      <c r="AC48" s="295"/>
      <c r="AD48" s="295"/>
      <c r="AE48" s="295"/>
      <c r="AF48" s="295"/>
      <c r="AG48" s="295"/>
      <c r="AH48" s="295"/>
      <c r="AI48" s="295"/>
      <c r="AJ48" s="295"/>
      <c r="AK48" s="295"/>
      <c r="AL48" s="294"/>
      <c r="AM48" s="294"/>
      <c r="AN48" s="294"/>
      <c r="AO48" s="294"/>
      <c r="AP48" s="294"/>
      <c r="AQ48" s="294"/>
      <c r="AR48" s="294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1"/>
      <c r="BF48" s="71"/>
      <c r="BG48" s="71"/>
      <c r="BH48" s="71"/>
      <c r="BI48" s="71"/>
    </row>
    <row r="49" spans="1:61" ht="14.25" x14ac:dyDescent="0.2">
      <c r="A49" s="71"/>
      <c r="B49" s="71"/>
      <c r="C49" s="79"/>
      <c r="D49" s="74"/>
      <c r="E49" s="74"/>
      <c r="F49" s="73"/>
      <c r="G49" s="73"/>
      <c r="H49" s="73"/>
      <c r="I49" s="73"/>
      <c r="J49" s="295"/>
      <c r="K49" s="295"/>
      <c r="L49" s="295"/>
      <c r="M49" s="295"/>
      <c r="N49" s="295"/>
      <c r="O49" s="295"/>
      <c r="P49" s="295"/>
      <c r="Q49" s="295"/>
      <c r="R49" s="295"/>
      <c r="S49" s="295"/>
      <c r="T49" s="295"/>
      <c r="U49" s="295"/>
      <c r="V49" s="295"/>
      <c r="W49" s="295"/>
      <c r="X49" s="295"/>
      <c r="Y49" s="295"/>
      <c r="Z49" s="295"/>
      <c r="AA49" s="295"/>
      <c r="AB49" s="295"/>
      <c r="AC49" s="295"/>
      <c r="AD49" s="295"/>
      <c r="AE49" s="295"/>
      <c r="AF49" s="295"/>
      <c r="AG49" s="295"/>
      <c r="AH49" s="295"/>
      <c r="AI49" s="295"/>
      <c r="AJ49" s="295"/>
      <c r="AK49" s="295"/>
      <c r="AL49" s="294"/>
      <c r="AM49" s="294"/>
      <c r="AN49" s="294"/>
      <c r="AO49" s="294"/>
      <c r="AP49" s="294"/>
      <c r="AQ49" s="294"/>
      <c r="AR49" s="294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1"/>
      <c r="BF49" s="71"/>
      <c r="BG49" s="71"/>
      <c r="BH49" s="71"/>
      <c r="BI49" s="71"/>
    </row>
    <row r="50" spans="1:61" ht="14.25" x14ac:dyDescent="0.2">
      <c r="A50" s="71"/>
      <c r="B50" s="71"/>
      <c r="C50" s="79"/>
      <c r="D50" s="74"/>
      <c r="E50" s="74"/>
      <c r="F50" s="73"/>
      <c r="G50" s="73"/>
      <c r="H50" s="73"/>
      <c r="I50" s="73"/>
      <c r="J50" s="295"/>
      <c r="K50" s="295"/>
      <c r="L50" s="295"/>
      <c r="M50" s="295"/>
      <c r="N50" s="295"/>
      <c r="O50" s="295"/>
      <c r="P50" s="295"/>
      <c r="Q50" s="295"/>
      <c r="R50" s="295"/>
      <c r="S50" s="295"/>
      <c r="T50" s="295"/>
      <c r="U50" s="295"/>
      <c r="V50" s="295"/>
      <c r="W50" s="295"/>
      <c r="X50" s="295"/>
      <c r="Y50" s="295"/>
      <c r="Z50" s="295"/>
      <c r="AA50" s="295"/>
      <c r="AB50" s="295"/>
      <c r="AC50" s="295"/>
      <c r="AD50" s="295"/>
      <c r="AE50" s="295"/>
      <c r="AF50" s="295"/>
      <c r="AG50" s="295"/>
      <c r="AH50" s="295"/>
      <c r="AI50" s="295"/>
      <c r="AJ50" s="295"/>
      <c r="AK50" s="295"/>
      <c r="AL50" s="294"/>
      <c r="AM50" s="294"/>
      <c r="AN50" s="294"/>
      <c r="AO50" s="294"/>
      <c r="AP50" s="294"/>
      <c r="AQ50" s="294"/>
      <c r="AR50" s="294"/>
      <c r="AS50" s="71"/>
      <c r="AT50" s="71"/>
      <c r="AU50" s="71"/>
      <c r="AV50" s="71"/>
      <c r="AW50" s="71"/>
      <c r="AX50" s="71"/>
      <c r="AY50" s="71"/>
      <c r="AZ50" s="71"/>
      <c r="BA50" s="71"/>
      <c r="BB50" s="71"/>
      <c r="BC50" s="71"/>
      <c r="BD50" s="71"/>
      <c r="BE50" s="71"/>
      <c r="BF50" s="71"/>
      <c r="BG50" s="71"/>
      <c r="BH50" s="71"/>
      <c r="BI50" s="71"/>
    </row>
    <row r="51" spans="1:61" ht="14.25" x14ac:dyDescent="0.2">
      <c r="A51" s="71"/>
      <c r="B51" s="71"/>
      <c r="C51" s="79"/>
      <c r="D51" s="74"/>
      <c r="E51" s="74"/>
      <c r="F51" s="73"/>
      <c r="G51" s="73"/>
      <c r="H51" s="73"/>
      <c r="I51" s="73"/>
      <c r="J51" s="295"/>
      <c r="K51" s="295"/>
      <c r="L51" s="295"/>
      <c r="M51" s="295"/>
      <c r="N51" s="295"/>
      <c r="O51" s="295"/>
      <c r="P51" s="295"/>
      <c r="Q51" s="295"/>
      <c r="R51" s="295"/>
      <c r="S51" s="295"/>
      <c r="T51" s="295"/>
      <c r="U51" s="295"/>
      <c r="V51" s="295"/>
      <c r="W51" s="295"/>
      <c r="X51" s="295"/>
      <c r="Y51" s="295"/>
      <c r="Z51" s="295"/>
      <c r="AA51" s="295"/>
      <c r="AB51" s="295"/>
      <c r="AC51" s="295"/>
      <c r="AD51" s="295"/>
      <c r="AE51" s="295"/>
      <c r="AF51" s="295"/>
      <c r="AG51" s="295"/>
      <c r="AH51" s="295"/>
      <c r="AI51" s="295"/>
      <c r="AJ51" s="295"/>
      <c r="AK51" s="295"/>
      <c r="AL51" s="294"/>
      <c r="AM51" s="294"/>
      <c r="AN51" s="294"/>
      <c r="AO51" s="294"/>
      <c r="AP51" s="294"/>
      <c r="AQ51" s="294"/>
      <c r="AR51" s="294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</row>
    <row r="52" spans="1:61" ht="14.25" x14ac:dyDescent="0.2">
      <c r="A52" s="71"/>
      <c r="B52" s="71"/>
      <c r="C52" s="78"/>
      <c r="D52" s="74"/>
      <c r="E52" s="74"/>
      <c r="F52" s="73"/>
      <c r="G52" s="73"/>
      <c r="H52" s="73"/>
      <c r="I52" s="73"/>
      <c r="J52" s="295"/>
      <c r="K52" s="295"/>
      <c r="L52" s="294"/>
      <c r="M52" s="294"/>
      <c r="N52" s="294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  <c r="AI52" s="294"/>
      <c r="AJ52" s="294"/>
      <c r="AK52" s="294"/>
      <c r="AL52" s="294"/>
      <c r="AM52" s="294"/>
      <c r="AN52" s="294"/>
      <c r="AO52" s="294"/>
      <c r="AP52" s="294"/>
      <c r="AQ52" s="294"/>
      <c r="AR52" s="294"/>
      <c r="AS52" s="71"/>
      <c r="AT52" s="71"/>
      <c r="AU52" s="71"/>
      <c r="AV52" s="71"/>
      <c r="AW52" s="71"/>
      <c r="AX52" s="71"/>
      <c r="AY52" s="71"/>
      <c r="AZ52" s="71"/>
      <c r="BA52" s="71"/>
      <c r="BB52" s="71"/>
      <c r="BC52" s="71"/>
      <c r="BD52" s="71"/>
      <c r="BE52" s="71"/>
      <c r="BF52" s="71"/>
      <c r="BG52" s="71"/>
      <c r="BH52" s="71"/>
      <c r="BI52" s="71"/>
    </row>
    <row r="53" spans="1:61" ht="14.25" x14ac:dyDescent="0.2">
      <c r="A53" s="71"/>
      <c r="B53" s="71"/>
      <c r="C53" s="78"/>
      <c r="D53" s="74"/>
      <c r="E53" s="74"/>
      <c r="F53" s="73"/>
      <c r="G53" s="73"/>
      <c r="H53" s="73"/>
      <c r="I53" s="73"/>
      <c r="J53" s="295"/>
      <c r="K53" s="295"/>
      <c r="L53" s="308"/>
      <c r="M53" s="309"/>
      <c r="N53" s="310"/>
      <c r="O53" s="310"/>
      <c r="P53" s="310"/>
      <c r="Q53" s="310"/>
      <c r="R53" s="311"/>
      <c r="S53" s="312"/>
      <c r="T53" s="313"/>
      <c r="U53" s="313"/>
      <c r="V53" s="311"/>
      <c r="W53" s="313"/>
      <c r="X53" s="310"/>
      <c r="Y53" s="310"/>
      <c r="Z53" s="310"/>
      <c r="AA53" s="310"/>
      <c r="AB53" s="310"/>
      <c r="AC53" s="310"/>
      <c r="AD53" s="310"/>
      <c r="AE53" s="313"/>
      <c r="AF53" s="310"/>
      <c r="AG53" s="310"/>
      <c r="AH53" s="310"/>
      <c r="AI53" s="313"/>
      <c r="AJ53" s="310"/>
      <c r="AK53" s="310"/>
      <c r="AL53" s="313"/>
      <c r="AM53" s="313"/>
      <c r="AN53" s="313"/>
      <c r="AO53" s="310"/>
      <c r="AP53" s="310"/>
      <c r="AQ53" s="310"/>
      <c r="AR53" s="310"/>
      <c r="AS53" s="71"/>
      <c r="AT53" s="71"/>
      <c r="AU53" s="71"/>
      <c r="AV53" s="71"/>
      <c r="AW53" s="71"/>
      <c r="AX53" s="71"/>
      <c r="AY53" s="71"/>
      <c r="AZ53" s="71"/>
      <c r="BA53" s="71"/>
      <c r="BB53" s="71"/>
      <c r="BC53" s="71"/>
      <c r="BD53" s="71"/>
      <c r="BE53" s="71"/>
      <c r="BF53" s="71"/>
      <c r="BG53" s="71"/>
      <c r="BH53" s="71"/>
      <c r="BI53" s="71"/>
    </row>
    <row r="54" spans="1:61" ht="14.25" x14ac:dyDescent="0.2">
      <c r="A54" s="71"/>
      <c r="B54" s="71"/>
      <c r="C54" s="78"/>
      <c r="D54" s="74"/>
      <c r="E54" s="74"/>
      <c r="F54" s="73"/>
      <c r="G54" s="73"/>
      <c r="H54" s="73"/>
      <c r="I54" s="73"/>
      <c r="J54" s="295"/>
      <c r="K54" s="295"/>
      <c r="L54" s="308"/>
      <c r="M54" s="310"/>
      <c r="N54" s="309"/>
      <c r="O54" s="310"/>
      <c r="P54" s="313"/>
      <c r="Q54" s="310"/>
      <c r="R54" s="311"/>
      <c r="S54" s="312"/>
      <c r="T54" s="313"/>
      <c r="U54" s="313"/>
      <c r="V54" s="311"/>
      <c r="W54" s="313"/>
      <c r="X54" s="311"/>
      <c r="Y54" s="310"/>
      <c r="Z54" s="310"/>
      <c r="AA54" s="310"/>
      <c r="AB54" s="310"/>
      <c r="AC54" s="310"/>
      <c r="AD54" s="310"/>
      <c r="AE54" s="313"/>
      <c r="AF54" s="310"/>
      <c r="AG54" s="310"/>
      <c r="AH54" s="310"/>
      <c r="AI54" s="313"/>
      <c r="AJ54" s="310"/>
      <c r="AK54" s="313"/>
      <c r="AL54" s="313"/>
      <c r="AM54" s="313"/>
      <c r="AN54" s="313"/>
      <c r="AO54" s="313"/>
      <c r="AP54" s="310"/>
      <c r="AQ54" s="310"/>
      <c r="AR54" s="310"/>
      <c r="AS54" s="71"/>
      <c r="AT54" s="71"/>
      <c r="AU54" s="71"/>
      <c r="AV54" s="71"/>
      <c r="AW54" s="71"/>
      <c r="AX54" s="71"/>
      <c r="AY54" s="71"/>
      <c r="AZ54" s="71"/>
      <c r="BA54" s="71"/>
      <c r="BB54" s="71"/>
      <c r="BC54" s="71"/>
      <c r="BD54" s="71"/>
      <c r="BE54" s="71"/>
      <c r="BF54" s="71"/>
      <c r="BG54" s="71"/>
      <c r="BH54" s="71"/>
      <c r="BI54" s="71"/>
    </row>
    <row r="55" spans="1:61" ht="14.25" x14ac:dyDescent="0.2">
      <c r="A55" s="71"/>
      <c r="B55" s="71"/>
      <c r="C55" s="78"/>
      <c r="D55" s="74"/>
      <c r="E55" s="74"/>
      <c r="F55" s="73"/>
      <c r="G55" s="73"/>
      <c r="H55" s="73"/>
      <c r="I55" s="73"/>
      <c r="J55" s="295"/>
      <c r="K55" s="295"/>
      <c r="L55" s="308"/>
      <c r="M55" s="310"/>
      <c r="N55" s="310"/>
      <c r="O55" s="309"/>
      <c r="P55" s="313"/>
      <c r="Q55" s="310"/>
      <c r="R55" s="311"/>
      <c r="S55" s="313"/>
      <c r="T55" s="313"/>
      <c r="U55" s="313"/>
      <c r="V55" s="311"/>
      <c r="W55" s="313"/>
      <c r="X55" s="311"/>
      <c r="Y55" s="310"/>
      <c r="Z55" s="310"/>
      <c r="AA55" s="310"/>
      <c r="AB55" s="310"/>
      <c r="AC55" s="310"/>
      <c r="AD55" s="310"/>
      <c r="AE55" s="313"/>
      <c r="AF55" s="310"/>
      <c r="AG55" s="310"/>
      <c r="AH55" s="310"/>
      <c r="AI55" s="313"/>
      <c r="AJ55" s="310"/>
      <c r="AK55" s="313"/>
      <c r="AL55" s="313"/>
      <c r="AM55" s="313"/>
      <c r="AN55" s="313"/>
      <c r="AO55" s="313"/>
      <c r="AP55" s="310"/>
      <c r="AQ55" s="310"/>
      <c r="AR55" s="310"/>
      <c r="AS55" s="71"/>
      <c r="AT55" s="71"/>
      <c r="AU55" s="71"/>
      <c r="AV55" s="71"/>
      <c r="AW55" s="71"/>
      <c r="AX55" s="71"/>
      <c r="AY55" s="71"/>
      <c r="AZ55" s="71"/>
      <c r="BA55" s="71"/>
      <c r="BB55" s="71"/>
      <c r="BC55" s="71"/>
      <c r="BD55" s="71"/>
      <c r="BE55" s="71"/>
      <c r="BF55" s="71"/>
      <c r="BG55" s="71"/>
      <c r="BH55" s="71"/>
      <c r="BI55" s="71"/>
    </row>
    <row r="56" spans="1:61" ht="14.25" x14ac:dyDescent="0.2">
      <c r="A56" s="71"/>
      <c r="B56" s="71"/>
      <c r="C56" s="78"/>
      <c r="D56" s="74"/>
      <c r="E56" s="74"/>
      <c r="F56" s="73"/>
      <c r="G56" s="73"/>
      <c r="H56" s="73"/>
      <c r="I56" s="73"/>
      <c r="J56" s="295"/>
      <c r="K56" s="295"/>
      <c r="L56" s="308"/>
      <c r="M56" s="310"/>
      <c r="N56" s="314"/>
      <c r="O56" s="314"/>
      <c r="P56" s="309"/>
      <c r="Q56" s="313"/>
      <c r="R56" s="313"/>
      <c r="S56" s="313"/>
      <c r="T56" s="313"/>
      <c r="U56" s="313"/>
      <c r="V56" s="310"/>
      <c r="W56" s="314"/>
      <c r="X56" s="310"/>
      <c r="Y56" s="310"/>
      <c r="Z56" s="310"/>
      <c r="AA56" s="310"/>
      <c r="AB56" s="310"/>
      <c r="AC56" s="314"/>
      <c r="AD56" s="310"/>
      <c r="AE56" s="314"/>
      <c r="AF56" s="314"/>
      <c r="AG56" s="314"/>
      <c r="AH56" s="310"/>
      <c r="AI56" s="314"/>
      <c r="AJ56" s="310"/>
      <c r="AK56" s="314"/>
      <c r="AL56" s="314"/>
      <c r="AM56" s="314"/>
      <c r="AN56" s="313"/>
      <c r="AO56" s="313"/>
      <c r="AP56" s="310"/>
      <c r="AQ56" s="314"/>
      <c r="AR56" s="314"/>
      <c r="AS56" s="71"/>
      <c r="AT56" s="71"/>
      <c r="AU56" s="71"/>
      <c r="AV56" s="71"/>
      <c r="AW56" s="71"/>
      <c r="AX56" s="71"/>
      <c r="AY56" s="71"/>
      <c r="AZ56" s="71"/>
      <c r="BA56" s="71"/>
      <c r="BB56" s="71"/>
      <c r="BC56" s="71"/>
      <c r="BD56" s="71"/>
      <c r="BE56" s="71"/>
      <c r="BF56" s="71"/>
      <c r="BG56" s="71"/>
      <c r="BH56" s="71"/>
      <c r="BI56" s="71"/>
    </row>
    <row r="57" spans="1:61" ht="14.25" x14ac:dyDescent="0.2">
      <c r="A57" s="71"/>
      <c r="B57" s="71"/>
      <c r="C57" s="78"/>
      <c r="D57" s="74"/>
      <c r="E57" s="74"/>
      <c r="F57" s="73"/>
      <c r="G57" s="73"/>
      <c r="H57" s="73"/>
      <c r="I57" s="73"/>
      <c r="J57" s="295"/>
      <c r="K57" s="295"/>
      <c r="L57" s="308"/>
      <c r="M57" s="310"/>
      <c r="N57" s="310"/>
      <c r="O57" s="310"/>
      <c r="P57" s="314"/>
      <c r="Q57" s="309"/>
      <c r="R57" s="314"/>
      <c r="S57" s="313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71"/>
      <c r="AT57" s="71"/>
      <c r="AU57" s="71"/>
      <c r="AV57" s="71"/>
      <c r="AW57" s="71"/>
      <c r="AX57" s="71"/>
      <c r="AY57" s="71"/>
      <c r="AZ57" s="71"/>
      <c r="BA57" s="71"/>
      <c r="BB57" s="71"/>
      <c r="BC57" s="71"/>
      <c r="BD57" s="71"/>
      <c r="BE57" s="71"/>
      <c r="BF57" s="71"/>
      <c r="BG57" s="71"/>
      <c r="BH57" s="71"/>
      <c r="BI57" s="71"/>
    </row>
    <row r="58" spans="1:61" ht="14.25" x14ac:dyDescent="0.2">
      <c r="A58" s="71"/>
      <c r="B58" s="71"/>
      <c r="C58" s="78"/>
      <c r="D58" s="74"/>
      <c r="E58" s="74"/>
      <c r="F58" s="73"/>
      <c r="G58" s="73"/>
      <c r="H58" s="73"/>
      <c r="I58" s="73"/>
      <c r="J58" s="295"/>
      <c r="K58" s="295"/>
      <c r="L58" s="308"/>
      <c r="M58" s="311"/>
      <c r="N58" s="310"/>
      <c r="O58" s="310"/>
      <c r="P58" s="314"/>
      <c r="Q58" s="313"/>
      <c r="R58" s="309"/>
      <c r="S58" s="313"/>
      <c r="T58" s="310"/>
      <c r="U58" s="314"/>
      <c r="V58" s="311"/>
      <c r="W58" s="310"/>
      <c r="X58" s="311"/>
      <c r="Y58" s="311"/>
      <c r="Z58" s="311"/>
      <c r="AA58" s="311"/>
      <c r="AB58" s="311"/>
      <c r="AC58" s="311"/>
      <c r="AD58" s="311"/>
      <c r="AE58" s="314"/>
      <c r="AF58" s="311"/>
      <c r="AG58" s="311"/>
      <c r="AH58" s="311"/>
      <c r="AI58" s="314"/>
      <c r="AJ58" s="311"/>
      <c r="AK58" s="314"/>
      <c r="AL58" s="314"/>
      <c r="AM58" s="314"/>
      <c r="AN58" s="314"/>
      <c r="AO58" s="314"/>
      <c r="AP58" s="311"/>
      <c r="AQ58" s="310"/>
      <c r="AR58" s="310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</row>
    <row r="59" spans="1:61" ht="14.25" x14ac:dyDescent="0.2">
      <c r="A59" s="71"/>
      <c r="B59" s="71"/>
      <c r="C59" s="78"/>
      <c r="D59" s="74"/>
      <c r="E59" s="74"/>
      <c r="F59" s="73"/>
      <c r="G59" s="73"/>
      <c r="H59" s="73"/>
      <c r="I59" s="73"/>
      <c r="J59" s="295"/>
      <c r="K59" s="295"/>
      <c r="L59" s="308"/>
      <c r="M59" s="312"/>
      <c r="N59" s="312"/>
      <c r="O59" s="312"/>
      <c r="P59" s="314"/>
      <c r="Q59" s="314"/>
      <c r="R59" s="314"/>
      <c r="S59" s="309"/>
      <c r="T59" s="314"/>
      <c r="U59" s="314"/>
      <c r="V59" s="310"/>
      <c r="W59" s="314"/>
      <c r="X59" s="310"/>
      <c r="Y59" s="310"/>
      <c r="Z59" s="314"/>
      <c r="AA59" s="314"/>
      <c r="AB59" s="310"/>
      <c r="AC59" s="310"/>
      <c r="AD59" s="310"/>
      <c r="AE59" s="314"/>
      <c r="AF59" s="314"/>
      <c r="AG59" s="314"/>
      <c r="AH59" s="310"/>
      <c r="AI59" s="310"/>
      <c r="AJ59" s="310"/>
      <c r="AK59" s="310"/>
      <c r="AL59" s="314"/>
      <c r="AM59" s="314"/>
      <c r="AN59" s="314"/>
      <c r="AO59" s="314"/>
      <c r="AP59" s="314"/>
      <c r="AQ59" s="314"/>
      <c r="AR59" s="314"/>
      <c r="AS59" s="71"/>
      <c r="AT59" s="71"/>
      <c r="AU59" s="71"/>
      <c r="AV59" s="71"/>
      <c r="AW59" s="71"/>
      <c r="AX59" s="71"/>
      <c r="AY59" s="71"/>
      <c r="AZ59" s="71"/>
      <c r="BA59" s="71"/>
      <c r="BB59" s="71"/>
      <c r="BC59" s="71"/>
      <c r="BD59" s="71"/>
      <c r="BE59" s="71"/>
      <c r="BF59" s="71"/>
      <c r="BG59" s="71"/>
      <c r="BH59" s="71"/>
      <c r="BI59" s="71"/>
    </row>
    <row r="60" spans="1:61" ht="14.25" x14ac:dyDescent="0.2">
      <c r="A60" s="71"/>
      <c r="B60" s="71"/>
      <c r="C60" s="78"/>
      <c r="D60" s="74"/>
      <c r="E60" s="74"/>
      <c r="F60" s="73"/>
      <c r="G60" s="73"/>
      <c r="H60" s="73"/>
      <c r="I60" s="73"/>
      <c r="J60" s="295"/>
      <c r="K60" s="295"/>
      <c r="L60" s="308"/>
      <c r="M60" s="310"/>
      <c r="N60" s="310"/>
      <c r="O60" s="310"/>
      <c r="P60" s="314"/>
      <c r="Q60" s="313"/>
      <c r="R60" s="310"/>
      <c r="S60" s="313"/>
      <c r="T60" s="309"/>
      <c r="U60" s="310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0"/>
      <c r="AO60" s="314"/>
      <c r="AP60" s="314"/>
      <c r="AQ60" s="314"/>
      <c r="AR60" s="314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/>
      <c r="BD60" s="71"/>
      <c r="BE60" s="71"/>
      <c r="BF60" s="71"/>
      <c r="BG60" s="71"/>
      <c r="BH60" s="71"/>
      <c r="BI60" s="71"/>
    </row>
    <row r="61" spans="1:61" ht="14.25" x14ac:dyDescent="0.2">
      <c r="A61" s="71"/>
      <c r="B61" s="71"/>
      <c r="C61" s="78"/>
      <c r="D61" s="74"/>
      <c r="E61" s="74"/>
      <c r="F61" s="73"/>
      <c r="G61" s="73"/>
      <c r="H61" s="73"/>
      <c r="I61" s="73"/>
      <c r="J61" s="295"/>
      <c r="K61" s="295"/>
      <c r="L61" s="308"/>
      <c r="M61" s="310"/>
      <c r="N61" s="310"/>
      <c r="O61" s="310"/>
      <c r="P61" s="314"/>
      <c r="Q61" s="313"/>
      <c r="R61" s="313"/>
      <c r="S61" s="313"/>
      <c r="T61" s="310"/>
      <c r="U61" s="309"/>
      <c r="V61" s="314"/>
      <c r="W61" s="314"/>
      <c r="X61" s="314"/>
      <c r="Y61" s="314"/>
      <c r="Z61" s="314"/>
      <c r="AA61" s="314"/>
      <c r="AB61" s="314"/>
      <c r="AC61" s="314"/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0"/>
      <c r="AO61" s="314"/>
      <c r="AP61" s="314"/>
      <c r="AQ61" s="314"/>
      <c r="AR61" s="314"/>
      <c r="AS61" s="71"/>
      <c r="AT61" s="71"/>
      <c r="AU61" s="71"/>
      <c r="AV61" s="71"/>
      <c r="AW61" s="71"/>
      <c r="AX61" s="71"/>
      <c r="AY61" s="71"/>
      <c r="AZ61" s="71"/>
      <c r="BA61" s="71"/>
      <c r="BB61" s="71"/>
      <c r="BC61" s="71"/>
      <c r="BD61" s="71"/>
      <c r="BE61" s="71"/>
      <c r="BF61" s="71"/>
      <c r="BG61" s="71"/>
      <c r="BH61" s="71"/>
      <c r="BI61" s="71"/>
    </row>
    <row r="62" spans="1:61" ht="14.25" x14ac:dyDescent="0.2">
      <c r="A62" s="71"/>
      <c r="B62" s="71"/>
      <c r="C62" s="78"/>
      <c r="D62" s="74"/>
      <c r="E62" s="74"/>
      <c r="F62" s="73"/>
      <c r="G62" s="73"/>
      <c r="H62" s="73"/>
      <c r="I62" s="73"/>
      <c r="J62" s="295"/>
      <c r="K62" s="295"/>
      <c r="L62" s="308"/>
      <c r="M62" s="311"/>
      <c r="N62" s="311"/>
      <c r="O62" s="311"/>
      <c r="P62" s="310"/>
      <c r="Q62" s="313"/>
      <c r="R62" s="311"/>
      <c r="S62" s="313"/>
      <c r="T62" s="313"/>
      <c r="U62" s="313"/>
      <c r="V62" s="309"/>
      <c r="W62" s="313"/>
      <c r="X62" s="310"/>
      <c r="Y62" s="310"/>
      <c r="Z62" s="310"/>
      <c r="AA62" s="310"/>
      <c r="AB62" s="310"/>
      <c r="AC62" s="310"/>
      <c r="AD62" s="310"/>
      <c r="AE62" s="313"/>
      <c r="AF62" s="310"/>
      <c r="AG62" s="310"/>
      <c r="AH62" s="310"/>
      <c r="AI62" s="313"/>
      <c r="AJ62" s="311"/>
      <c r="AK62" s="313"/>
      <c r="AL62" s="313"/>
      <c r="AM62" s="313"/>
      <c r="AN62" s="313"/>
      <c r="AO62" s="313"/>
      <c r="AP62" s="310"/>
      <c r="AQ62" s="314"/>
      <c r="AR62" s="314"/>
      <c r="AS62" s="71"/>
      <c r="AT62" s="71"/>
      <c r="AU62" s="71"/>
      <c r="AV62" s="71"/>
      <c r="AW62" s="71"/>
      <c r="AX62" s="71"/>
      <c r="AY62" s="71"/>
      <c r="AZ62" s="71"/>
      <c r="BA62" s="71"/>
      <c r="BB62" s="71"/>
      <c r="BC62" s="71"/>
      <c r="BD62" s="71"/>
      <c r="BE62" s="71"/>
      <c r="BF62" s="71"/>
      <c r="BG62" s="71"/>
      <c r="BH62" s="71"/>
      <c r="BI62" s="71"/>
    </row>
    <row r="63" spans="1:61" ht="14.25" x14ac:dyDescent="0.2">
      <c r="A63" s="71"/>
      <c r="B63" s="71"/>
      <c r="C63" s="78"/>
      <c r="D63" s="74"/>
      <c r="E63" s="74"/>
      <c r="F63" s="73"/>
      <c r="G63" s="73"/>
      <c r="H63" s="73"/>
      <c r="I63" s="73"/>
      <c r="J63" s="295"/>
      <c r="K63" s="295"/>
      <c r="L63" s="308"/>
      <c r="M63" s="314"/>
      <c r="N63" s="314"/>
      <c r="O63" s="314"/>
      <c r="P63" s="313"/>
      <c r="Q63" s="313"/>
      <c r="R63" s="310"/>
      <c r="S63" s="313"/>
      <c r="T63" s="313"/>
      <c r="U63" s="313"/>
      <c r="V63" s="314"/>
      <c r="W63" s="309"/>
      <c r="X63" s="313"/>
      <c r="Y63" s="313"/>
      <c r="Z63" s="313"/>
      <c r="AA63" s="313"/>
      <c r="AB63" s="313"/>
      <c r="AC63" s="313"/>
      <c r="AD63" s="313"/>
      <c r="AE63" s="313"/>
      <c r="AF63" s="313"/>
      <c r="AG63" s="313"/>
      <c r="AH63" s="313"/>
      <c r="AI63" s="313"/>
      <c r="AJ63" s="313"/>
      <c r="AK63" s="313"/>
      <c r="AL63" s="313"/>
      <c r="AM63" s="313"/>
      <c r="AN63" s="313"/>
      <c r="AO63" s="313"/>
      <c r="AP63" s="313"/>
      <c r="AQ63" s="314"/>
      <c r="AR63" s="314"/>
      <c r="AS63" s="71"/>
      <c r="AT63" s="71"/>
      <c r="AU63" s="71"/>
      <c r="AV63" s="71"/>
      <c r="AW63" s="71"/>
      <c r="AX63" s="71"/>
      <c r="AY63" s="71"/>
      <c r="AZ63" s="71"/>
      <c r="BA63" s="71"/>
      <c r="BB63" s="71"/>
      <c r="BC63" s="71"/>
      <c r="BD63" s="71"/>
      <c r="BE63" s="71"/>
      <c r="BF63" s="71"/>
      <c r="BG63" s="71"/>
      <c r="BH63" s="71"/>
      <c r="BI63" s="71"/>
    </row>
    <row r="64" spans="1:61" ht="14.25" x14ac:dyDescent="0.2">
      <c r="A64" s="71"/>
      <c r="B64" s="71"/>
      <c r="C64" s="78"/>
      <c r="D64" s="74"/>
      <c r="E64" s="74"/>
      <c r="F64" s="73"/>
      <c r="G64" s="73"/>
      <c r="H64" s="73"/>
      <c r="I64" s="73"/>
      <c r="J64" s="295"/>
      <c r="K64" s="295"/>
      <c r="L64" s="308"/>
      <c r="M64" s="310"/>
      <c r="N64" s="311"/>
      <c r="O64" s="311"/>
      <c r="P64" s="310"/>
      <c r="Q64" s="313"/>
      <c r="R64" s="311"/>
      <c r="S64" s="313"/>
      <c r="T64" s="313"/>
      <c r="U64" s="313"/>
      <c r="V64" s="310"/>
      <c r="W64" s="314"/>
      <c r="X64" s="309"/>
      <c r="Y64" s="310"/>
      <c r="Z64" s="310"/>
      <c r="AA64" s="310"/>
      <c r="AB64" s="310"/>
      <c r="AC64" s="310"/>
      <c r="AD64" s="310"/>
      <c r="AE64" s="313"/>
      <c r="AF64" s="310"/>
      <c r="AG64" s="310"/>
      <c r="AH64" s="310"/>
      <c r="AI64" s="313"/>
      <c r="AJ64" s="310"/>
      <c r="AK64" s="310"/>
      <c r="AL64" s="313"/>
      <c r="AM64" s="313"/>
      <c r="AN64" s="313"/>
      <c r="AO64" s="310"/>
      <c r="AP64" s="310"/>
      <c r="AQ64" s="314"/>
      <c r="AR64" s="314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1"/>
      <c r="BF64" s="71"/>
      <c r="BG64" s="71"/>
      <c r="BH64" s="71"/>
      <c r="BI64" s="71"/>
    </row>
    <row r="65" spans="1:61" ht="14.25" x14ac:dyDescent="0.2">
      <c r="A65" s="71"/>
      <c r="B65" s="71"/>
      <c r="C65" s="78"/>
      <c r="D65" s="74"/>
      <c r="E65" s="74"/>
      <c r="F65" s="73"/>
      <c r="G65" s="73"/>
      <c r="H65" s="73"/>
      <c r="I65" s="73"/>
      <c r="J65" s="295"/>
      <c r="K65" s="295"/>
      <c r="L65" s="308"/>
      <c r="M65" s="310"/>
      <c r="N65" s="311"/>
      <c r="O65" s="311"/>
      <c r="P65" s="310"/>
      <c r="Q65" s="313"/>
      <c r="R65" s="311"/>
      <c r="S65" s="313"/>
      <c r="T65" s="313"/>
      <c r="U65" s="313"/>
      <c r="V65" s="310"/>
      <c r="W65" s="314"/>
      <c r="X65" s="310"/>
      <c r="Y65" s="309"/>
      <c r="Z65" s="310"/>
      <c r="AA65" s="310"/>
      <c r="AB65" s="310"/>
      <c r="AC65" s="310"/>
      <c r="AD65" s="310"/>
      <c r="AE65" s="313"/>
      <c r="AF65" s="310"/>
      <c r="AG65" s="310"/>
      <c r="AH65" s="310"/>
      <c r="AI65" s="313"/>
      <c r="AJ65" s="310"/>
      <c r="AK65" s="310"/>
      <c r="AL65" s="313"/>
      <c r="AM65" s="313"/>
      <c r="AN65" s="313"/>
      <c r="AO65" s="310"/>
      <c r="AP65" s="310"/>
      <c r="AQ65" s="314"/>
      <c r="AR65" s="314"/>
      <c r="AS65" s="71"/>
      <c r="AT65" s="71"/>
      <c r="AU65" s="71"/>
      <c r="AV65" s="71"/>
      <c r="AW65" s="71"/>
      <c r="AX65" s="71"/>
      <c r="AY65" s="71"/>
      <c r="AZ65" s="71"/>
      <c r="BA65" s="71"/>
      <c r="BB65" s="71"/>
      <c r="BC65" s="71"/>
      <c r="BD65" s="71"/>
      <c r="BE65" s="71"/>
      <c r="BF65" s="71"/>
      <c r="BG65" s="71"/>
      <c r="BH65" s="71"/>
      <c r="BI65" s="71"/>
    </row>
    <row r="66" spans="1:61" ht="14.25" x14ac:dyDescent="0.2">
      <c r="A66" s="71"/>
      <c r="B66" s="71"/>
      <c r="C66" s="78"/>
      <c r="D66" s="74"/>
      <c r="E66" s="74"/>
      <c r="F66" s="73"/>
      <c r="G66" s="73"/>
      <c r="H66" s="73"/>
      <c r="I66" s="73"/>
      <c r="J66" s="295"/>
      <c r="K66" s="295"/>
      <c r="L66" s="308"/>
      <c r="M66" s="310"/>
      <c r="N66" s="310"/>
      <c r="O66" s="311"/>
      <c r="P66" s="310"/>
      <c r="Q66" s="313"/>
      <c r="R66" s="310"/>
      <c r="S66" s="313"/>
      <c r="T66" s="313"/>
      <c r="U66" s="313"/>
      <c r="V66" s="310"/>
      <c r="W66" s="314"/>
      <c r="X66" s="310"/>
      <c r="Y66" s="310"/>
      <c r="Z66" s="309"/>
      <c r="AA66" s="310"/>
      <c r="AB66" s="310"/>
      <c r="AC66" s="310"/>
      <c r="AD66" s="310"/>
      <c r="AE66" s="313"/>
      <c r="AF66" s="310"/>
      <c r="AG66" s="310"/>
      <c r="AH66" s="310"/>
      <c r="AI66" s="313"/>
      <c r="AJ66" s="310"/>
      <c r="AK66" s="310"/>
      <c r="AL66" s="313"/>
      <c r="AM66" s="313"/>
      <c r="AN66" s="313"/>
      <c r="AO66" s="310"/>
      <c r="AP66" s="310"/>
      <c r="AQ66" s="314"/>
      <c r="AR66" s="314"/>
      <c r="AS66" s="71"/>
      <c r="AT66" s="71"/>
      <c r="AU66" s="71"/>
      <c r="AV66" s="71"/>
      <c r="AW66" s="71"/>
      <c r="AX66" s="71"/>
      <c r="AY66" s="71"/>
      <c r="AZ66" s="71"/>
      <c r="BA66" s="71"/>
      <c r="BB66" s="71"/>
      <c r="BC66" s="71"/>
      <c r="BD66" s="71"/>
      <c r="BE66" s="71"/>
      <c r="BF66" s="71"/>
      <c r="BG66" s="71"/>
      <c r="BH66" s="71"/>
      <c r="BI66" s="71"/>
    </row>
    <row r="67" spans="1:61" ht="14.25" x14ac:dyDescent="0.2">
      <c r="A67" s="71"/>
      <c r="B67" s="71"/>
      <c r="C67" s="78"/>
      <c r="D67" s="74"/>
      <c r="E67" s="74"/>
      <c r="F67" s="73"/>
      <c r="G67" s="73"/>
      <c r="H67" s="73"/>
      <c r="I67" s="73"/>
      <c r="J67" s="295"/>
      <c r="K67" s="295"/>
      <c r="L67" s="308"/>
      <c r="M67" s="310"/>
      <c r="N67" s="310"/>
      <c r="O67" s="311"/>
      <c r="P67" s="310"/>
      <c r="Q67" s="313"/>
      <c r="R67" s="310"/>
      <c r="S67" s="313"/>
      <c r="T67" s="313"/>
      <c r="U67" s="313"/>
      <c r="V67" s="310"/>
      <c r="W67" s="314"/>
      <c r="X67" s="310"/>
      <c r="Y67" s="310"/>
      <c r="Z67" s="310"/>
      <c r="AA67" s="309"/>
      <c r="AB67" s="310"/>
      <c r="AC67" s="310"/>
      <c r="AD67" s="310"/>
      <c r="AE67" s="313"/>
      <c r="AF67" s="310"/>
      <c r="AG67" s="310"/>
      <c r="AH67" s="310"/>
      <c r="AI67" s="313"/>
      <c r="AJ67" s="310"/>
      <c r="AK67" s="313"/>
      <c r="AL67" s="313"/>
      <c r="AM67" s="313"/>
      <c r="AN67" s="313"/>
      <c r="AO67" s="313"/>
      <c r="AP67" s="310"/>
      <c r="AQ67" s="314"/>
      <c r="AR67" s="314"/>
      <c r="AS67" s="71"/>
      <c r="AT67" s="71"/>
      <c r="AU67" s="71"/>
      <c r="AV67" s="71"/>
      <c r="AW67" s="71"/>
      <c r="AX67" s="71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</row>
    <row r="68" spans="1:61" ht="14.25" x14ac:dyDescent="0.2">
      <c r="A68" s="71"/>
      <c r="B68" s="71"/>
      <c r="C68" s="78"/>
      <c r="D68" s="74"/>
      <c r="E68" s="74"/>
      <c r="F68" s="73"/>
      <c r="G68" s="73"/>
      <c r="H68" s="73"/>
      <c r="I68" s="73"/>
      <c r="J68" s="295"/>
      <c r="K68" s="295"/>
      <c r="L68" s="308"/>
      <c r="M68" s="311"/>
      <c r="N68" s="310"/>
      <c r="O68" s="310"/>
      <c r="P68" s="310"/>
      <c r="Q68" s="313"/>
      <c r="R68" s="310"/>
      <c r="S68" s="313"/>
      <c r="T68" s="313"/>
      <c r="U68" s="313"/>
      <c r="V68" s="310"/>
      <c r="W68" s="314"/>
      <c r="X68" s="310"/>
      <c r="Y68" s="310"/>
      <c r="Z68" s="310"/>
      <c r="AA68" s="310"/>
      <c r="AB68" s="309"/>
      <c r="AC68" s="310"/>
      <c r="AD68" s="310"/>
      <c r="AE68" s="313"/>
      <c r="AF68" s="310"/>
      <c r="AG68" s="310"/>
      <c r="AH68" s="310"/>
      <c r="AI68" s="313"/>
      <c r="AJ68" s="310"/>
      <c r="AK68" s="310"/>
      <c r="AL68" s="313"/>
      <c r="AM68" s="313"/>
      <c r="AN68" s="313"/>
      <c r="AO68" s="310"/>
      <c r="AP68" s="310"/>
      <c r="AQ68" s="314"/>
      <c r="AR68" s="314"/>
      <c r="AS68" s="71"/>
      <c r="AT68" s="71"/>
      <c r="AU68" s="71"/>
      <c r="AV68" s="71"/>
      <c r="AW68" s="71"/>
      <c r="AX68" s="71"/>
      <c r="AY68" s="71"/>
      <c r="AZ68" s="71"/>
      <c r="BA68" s="71"/>
      <c r="BB68" s="71"/>
      <c r="BC68" s="71"/>
      <c r="BD68" s="71"/>
      <c r="BE68" s="71"/>
      <c r="BF68" s="71"/>
      <c r="BG68" s="71"/>
      <c r="BH68" s="71"/>
      <c r="BI68" s="71"/>
    </row>
    <row r="69" spans="1:61" ht="14.25" x14ac:dyDescent="0.2">
      <c r="A69" s="71"/>
      <c r="B69" s="71"/>
      <c r="C69" s="79"/>
      <c r="D69" s="74"/>
      <c r="E69" s="74"/>
      <c r="F69" s="73"/>
      <c r="G69" s="73"/>
      <c r="H69" s="73"/>
      <c r="I69" s="73"/>
      <c r="J69" s="295"/>
      <c r="K69" s="295"/>
      <c r="L69" s="308"/>
      <c r="M69" s="310"/>
      <c r="N69" s="310"/>
      <c r="O69" s="310"/>
      <c r="P69" s="313"/>
      <c r="Q69" s="313"/>
      <c r="R69" s="310"/>
      <c r="S69" s="313"/>
      <c r="T69" s="313"/>
      <c r="U69" s="313"/>
      <c r="V69" s="310"/>
      <c r="W69" s="314"/>
      <c r="X69" s="310"/>
      <c r="Y69" s="310"/>
      <c r="Z69" s="310"/>
      <c r="AA69" s="310"/>
      <c r="AB69" s="310"/>
      <c r="AC69" s="309"/>
      <c r="AD69" s="310"/>
      <c r="AE69" s="313"/>
      <c r="AF69" s="310"/>
      <c r="AG69" s="310"/>
      <c r="AH69" s="310"/>
      <c r="AI69" s="313"/>
      <c r="AJ69" s="310"/>
      <c r="AK69" s="313"/>
      <c r="AL69" s="313"/>
      <c r="AM69" s="313"/>
      <c r="AN69" s="313"/>
      <c r="AO69" s="313"/>
      <c r="AP69" s="310"/>
      <c r="AQ69" s="314"/>
      <c r="AR69" s="314"/>
      <c r="AS69" s="71"/>
      <c r="AT69" s="71"/>
      <c r="AU69" s="71"/>
      <c r="AV69" s="71"/>
      <c r="AW69" s="71"/>
      <c r="AX69" s="71"/>
      <c r="AY69" s="71"/>
      <c r="AZ69" s="71"/>
      <c r="BA69" s="71"/>
      <c r="BB69" s="71"/>
      <c r="BC69" s="71"/>
      <c r="BD69" s="71"/>
      <c r="BE69" s="71"/>
      <c r="BF69" s="71"/>
      <c r="BG69" s="71"/>
      <c r="BH69" s="71"/>
      <c r="BI69" s="71"/>
    </row>
    <row r="70" spans="1:61" ht="14.25" x14ac:dyDescent="0.2">
      <c r="A70" s="71"/>
      <c r="B70" s="71"/>
      <c r="C70" s="79"/>
      <c r="D70" s="74"/>
      <c r="E70" s="74"/>
      <c r="F70" s="73"/>
      <c r="G70" s="73"/>
      <c r="H70" s="73"/>
      <c r="I70" s="73"/>
      <c r="J70" s="295"/>
      <c r="K70" s="295"/>
      <c r="L70" s="308"/>
      <c r="M70" s="311"/>
      <c r="N70" s="310"/>
      <c r="O70" s="311"/>
      <c r="P70" s="310"/>
      <c r="Q70" s="313"/>
      <c r="R70" s="310"/>
      <c r="S70" s="313"/>
      <c r="T70" s="313"/>
      <c r="U70" s="313"/>
      <c r="V70" s="310"/>
      <c r="W70" s="314"/>
      <c r="X70" s="310"/>
      <c r="Y70" s="310"/>
      <c r="Z70" s="310"/>
      <c r="AA70" s="310"/>
      <c r="AB70" s="310"/>
      <c r="AC70" s="310"/>
      <c r="AD70" s="309"/>
      <c r="AE70" s="313"/>
      <c r="AF70" s="310"/>
      <c r="AG70" s="310"/>
      <c r="AH70" s="310"/>
      <c r="AI70" s="313"/>
      <c r="AJ70" s="310"/>
      <c r="AK70" s="313"/>
      <c r="AL70" s="313"/>
      <c r="AM70" s="313"/>
      <c r="AN70" s="313"/>
      <c r="AO70" s="313"/>
      <c r="AP70" s="310"/>
      <c r="AQ70" s="314"/>
      <c r="AR70" s="314"/>
      <c r="AS70" s="71"/>
      <c r="AT70" s="71"/>
      <c r="AU70" s="71"/>
      <c r="AV70" s="71"/>
      <c r="AW70" s="71"/>
      <c r="AX70" s="71"/>
      <c r="AY70" s="71"/>
      <c r="AZ70" s="71"/>
      <c r="BA70" s="71"/>
      <c r="BB70" s="71"/>
      <c r="BC70" s="71"/>
      <c r="BD70" s="71"/>
      <c r="BE70" s="71"/>
      <c r="BF70" s="71"/>
      <c r="BG70" s="71"/>
      <c r="BH70" s="71"/>
      <c r="BI70" s="71"/>
    </row>
    <row r="71" spans="1:61" x14ac:dyDescent="0.2">
      <c r="A71" s="73"/>
      <c r="B71" s="73"/>
      <c r="C71" s="73"/>
      <c r="D71" s="71"/>
      <c r="E71" s="73"/>
      <c r="F71" s="73"/>
      <c r="G71" s="73"/>
      <c r="H71" s="73"/>
      <c r="I71" s="73"/>
      <c r="J71" s="295"/>
      <c r="K71" s="295"/>
      <c r="L71" s="308"/>
      <c r="M71" s="314"/>
      <c r="N71" s="314"/>
      <c r="O71" s="314"/>
      <c r="P71" s="313"/>
      <c r="Q71" s="313"/>
      <c r="R71" s="313"/>
      <c r="S71" s="313"/>
      <c r="T71" s="313"/>
      <c r="U71" s="313"/>
      <c r="V71" s="314"/>
      <c r="W71" s="314"/>
      <c r="X71" s="314"/>
      <c r="Y71" s="314"/>
      <c r="Z71" s="314"/>
      <c r="AA71" s="314"/>
      <c r="AB71" s="314"/>
      <c r="AC71" s="314"/>
      <c r="AD71" s="314"/>
      <c r="AE71" s="309"/>
      <c r="AF71" s="313"/>
      <c r="AG71" s="313"/>
      <c r="AH71" s="313"/>
      <c r="AI71" s="313"/>
      <c r="AJ71" s="313"/>
      <c r="AK71" s="313"/>
      <c r="AL71" s="313"/>
      <c r="AM71" s="313"/>
      <c r="AN71" s="313"/>
      <c r="AO71" s="313"/>
      <c r="AP71" s="313"/>
      <c r="AQ71" s="314"/>
      <c r="AR71" s="314"/>
      <c r="AS71" s="71"/>
      <c r="AT71" s="71"/>
      <c r="AU71" s="71"/>
      <c r="AV71" s="71"/>
      <c r="AW71" s="71"/>
      <c r="AX71" s="71"/>
      <c r="AY71" s="71"/>
      <c r="AZ71" s="71"/>
      <c r="BA71" s="71"/>
      <c r="BB71" s="71"/>
      <c r="BC71" s="71"/>
      <c r="BD71" s="71"/>
      <c r="BE71" s="71"/>
      <c r="BF71" s="71"/>
      <c r="BG71" s="71"/>
      <c r="BH71" s="71"/>
      <c r="BI71" s="71"/>
    </row>
    <row r="72" spans="1:61" x14ac:dyDescent="0.2">
      <c r="A72" s="73"/>
      <c r="B72" s="73"/>
      <c r="C72" s="73"/>
      <c r="D72" s="71"/>
      <c r="E72" s="73"/>
      <c r="F72" s="73"/>
      <c r="G72" s="73"/>
      <c r="H72" s="73"/>
      <c r="I72" s="73"/>
      <c r="J72" s="295"/>
      <c r="K72" s="295"/>
      <c r="L72" s="308"/>
      <c r="M72" s="310"/>
      <c r="N72" s="310"/>
      <c r="O72" s="310"/>
      <c r="P72" s="313"/>
      <c r="Q72" s="313"/>
      <c r="R72" s="311"/>
      <c r="S72" s="313"/>
      <c r="T72" s="313"/>
      <c r="U72" s="313"/>
      <c r="V72" s="310"/>
      <c r="W72" s="314"/>
      <c r="X72" s="310"/>
      <c r="Y72" s="310"/>
      <c r="Z72" s="310"/>
      <c r="AA72" s="310"/>
      <c r="AB72" s="310"/>
      <c r="AC72" s="310"/>
      <c r="AD72" s="310"/>
      <c r="AE72" s="314"/>
      <c r="AF72" s="309"/>
      <c r="AG72" s="310"/>
      <c r="AH72" s="310"/>
      <c r="AI72" s="313"/>
      <c r="AJ72" s="310"/>
      <c r="AK72" s="313"/>
      <c r="AL72" s="313"/>
      <c r="AM72" s="313"/>
      <c r="AN72" s="313"/>
      <c r="AO72" s="313"/>
      <c r="AP72" s="310"/>
      <c r="AQ72" s="314"/>
      <c r="AR72" s="314"/>
      <c r="AS72" s="71"/>
      <c r="AT72" s="71"/>
      <c r="AU72" s="71"/>
      <c r="AV72" s="71"/>
      <c r="AW72" s="71"/>
      <c r="AX72" s="71"/>
      <c r="AY72" s="71"/>
      <c r="AZ72" s="71"/>
      <c r="BA72" s="71"/>
      <c r="BB72" s="71"/>
      <c r="BC72" s="71"/>
      <c r="BD72" s="71"/>
      <c r="BE72" s="71"/>
      <c r="BF72" s="71"/>
      <c r="BG72" s="71"/>
      <c r="BH72" s="71"/>
      <c r="BI72" s="71"/>
    </row>
    <row r="73" spans="1:61" x14ac:dyDescent="0.2">
      <c r="A73" s="73"/>
      <c r="B73" s="73"/>
      <c r="C73" s="73"/>
      <c r="D73" s="71"/>
      <c r="E73" s="73"/>
      <c r="F73" s="73"/>
      <c r="G73" s="73"/>
      <c r="H73" s="73"/>
      <c r="I73" s="73"/>
      <c r="J73" s="295"/>
      <c r="K73" s="295"/>
      <c r="L73" s="308"/>
      <c r="M73" s="310"/>
      <c r="N73" s="310"/>
      <c r="O73" s="310"/>
      <c r="P73" s="313"/>
      <c r="Q73" s="313"/>
      <c r="R73" s="311"/>
      <c r="S73" s="313"/>
      <c r="T73" s="313"/>
      <c r="U73" s="313"/>
      <c r="V73" s="310"/>
      <c r="W73" s="314"/>
      <c r="X73" s="310"/>
      <c r="Y73" s="310"/>
      <c r="Z73" s="310"/>
      <c r="AA73" s="310"/>
      <c r="AB73" s="310"/>
      <c r="AC73" s="310"/>
      <c r="AD73" s="310"/>
      <c r="AE73" s="314"/>
      <c r="AF73" s="310"/>
      <c r="AG73" s="309"/>
      <c r="AH73" s="310"/>
      <c r="AI73" s="313"/>
      <c r="AJ73" s="310"/>
      <c r="AK73" s="313"/>
      <c r="AL73" s="313"/>
      <c r="AM73" s="313"/>
      <c r="AN73" s="313"/>
      <c r="AO73" s="313"/>
      <c r="AP73" s="310"/>
      <c r="AQ73" s="314"/>
      <c r="AR73" s="314"/>
      <c r="AS73" s="71"/>
      <c r="AT73" s="71"/>
      <c r="AU73" s="71"/>
      <c r="AV73" s="71"/>
      <c r="AW73" s="71"/>
      <c r="AX73" s="71"/>
      <c r="AY73" s="71"/>
      <c r="AZ73" s="71"/>
      <c r="BA73" s="71"/>
      <c r="BB73" s="71"/>
      <c r="BC73" s="71"/>
      <c r="BD73" s="71"/>
      <c r="BE73" s="71"/>
      <c r="BF73" s="71"/>
      <c r="BG73" s="71"/>
      <c r="BH73" s="71"/>
      <c r="BI73" s="71"/>
    </row>
    <row r="74" spans="1:61" x14ac:dyDescent="0.2">
      <c r="A74" s="73"/>
      <c r="B74" s="73"/>
      <c r="C74" s="73"/>
      <c r="D74" s="71"/>
      <c r="E74" s="73"/>
      <c r="F74" s="73"/>
      <c r="G74" s="73"/>
      <c r="H74" s="73"/>
      <c r="I74" s="73"/>
      <c r="J74" s="295"/>
      <c r="K74" s="295"/>
      <c r="L74" s="308"/>
      <c r="M74" s="310"/>
      <c r="N74" s="310"/>
      <c r="O74" s="310"/>
      <c r="P74" s="310"/>
      <c r="Q74" s="313"/>
      <c r="R74" s="311"/>
      <c r="S74" s="313"/>
      <c r="T74" s="313"/>
      <c r="U74" s="313"/>
      <c r="V74" s="310"/>
      <c r="W74" s="314"/>
      <c r="X74" s="310"/>
      <c r="Y74" s="310"/>
      <c r="Z74" s="310"/>
      <c r="AA74" s="310"/>
      <c r="AB74" s="310"/>
      <c r="AC74" s="310"/>
      <c r="AD74" s="310"/>
      <c r="AE74" s="314"/>
      <c r="AF74" s="310"/>
      <c r="AG74" s="310"/>
      <c r="AH74" s="309"/>
      <c r="AI74" s="313"/>
      <c r="AJ74" s="310"/>
      <c r="AK74" s="310"/>
      <c r="AL74" s="313"/>
      <c r="AM74" s="313"/>
      <c r="AN74" s="313"/>
      <c r="AO74" s="310"/>
      <c r="AP74" s="310"/>
      <c r="AQ74" s="314"/>
      <c r="AR74" s="314"/>
      <c r="AS74" s="71"/>
      <c r="AT74" s="71"/>
      <c r="AU74" s="71"/>
      <c r="AV74" s="71"/>
      <c r="AW74" s="71"/>
      <c r="AX74" s="71"/>
      <c r="AY74" s="71"/>
      <c r="AZ74" s="71"/>
      <c r="BA74" s="71"/>
      <c r="BB74" s="71"/>
      <c r="BC74" s="71"/>
      <c r="BD74" s="71"/>
      <c r="BE74" s="71"/>
      <c r="BF74" s="71"/>
      <c r="BG74" s="71"/>
      <c r="BH74" s="71"/>
      <c r="BI74" s="71"/>
    </row>
    <row r="75" spans="1:61" x14ac:dyDescent="0.2">
      <c r="A75" s="73"/>
      <c r="B75" s="73"/>
      <c r="C75" s="73"/>
      <c r="D75" s="71"/>
      <c r="E75" s="73"/>
      <c r="F75" s="73"/>
      <c r="G75" s="73"/>
      <c r="H75" s="73"/>
      <c r="I75" s="73"/>
      <c r="J75" s="295"/>
      <c r="K75" s="295"/>
      <c r="L75" s="308"/>
      <c r="M75" s="314"/>
      <c r="N75" s="314"/>
      <c r="O75" s="314"/>
      <c r="P75" s="313"/>
      <c r="Q75" s="313"/>
      <c r="R75" s="313"/>
      <c r="S75" s="313"/>
      <c r="T75" s="313"/>
      <c r="U75" s="313"/>
      <c r="V75" s="314"/>
      <c r="W75" s="314"/>
      <c r="X75" s="314"/>
      <c r="Y75" s="314"/>
      <c r="Z75" s="314"/>
      <c r="AA75" s="314"/>
      <c r="AB75" s="314"/>
      <c r="AC75" s="314"/>
      <c r="AD75" s="314"/>
      <c r="AE75" s="314"/>
      <c r="AF75" s="314"/>
      <c r="AG75" s="314"/>
      <c r="AH75" s="314"/>
      <c r="AI75" s="309"/>
      <c r="AJ75" s="313"/>
      <c r="AK75" s="313"/>
      <c r="AL75" s="313"/>
      <c r="AM75" s="313"/>
      <c r="AN75" s="313"/>
      <c r="AO75" s="313"/>
      <c r="AP75" s="313"/>
      <c r="AQ75" s="314"/>
      <c r="AR75" s="314"/>
      <c r="AS75" s="71"/>
      <c r="AT75" s="71"/>
      <c r="AU75" s="71"/>
      <c r="AV75" s="71"/>
      <c r="AW75" s="71"/>
      <c r="AX75" s="71"/>
      <c r="AY75" s="71"/>
      <c r="AZ75" s="71"/>
      <c r="BA75" s="71"/>
      <c r="BB75" s="71"/>
      <c r="BC75" s="71"/>
      <c r="BD75" s="71"/>
      <c r="BE75" s="71"/>
      <c r="BF75" s="71"/>
      <c r="BG75" s="71"/>
      <c r="BH75" s="71"/>
      <c r="BI75" s="71"/>
    </row>
    <row r="76" spans="1:61" x14ac:dyDescent="0.2">
      <c r="A76" s="73"/>
      <c r="B76" s="73"/>
      <c r="C76" s="73"/>
      <c r="D76" s="71"/>
      <c r="E76" s="73"/>
      <c r="F76" s="73"/>
      <c r="G76" s="73"/>
      <c r="H76" s="73"/>
      <c r="I76" s="73"/>
      <c r="J76" s="295"/>
      <c r="K76" s="295"/>
      <c r="L76" s="308"/>
      <c r="M76" s="312"/>
      <c r="N76" s="310"/>
      <c r="O76" s="310"/>
      <c r="P76" s="310"/>
      <c r="Q76" s="313"/>
      <c r="R76" s="310"/>
      <c r="S76" s="313"/>
      <c r="T76" s="313"/>
      <c r="U76" s="313"/>
      <c r="V76" s="310"/>
      <c r="W76" s="314"/>
      <c r="X76" s="310"/>
      <c r="Y76" s="310"/>
      <c r="Z76" s="310"/>
      <c r="AA76" s="310"/>
      <c r="AB76" s="310"/>
      <c r="AC76" s="310"/>
      <c r="AD76" s="310"/>
      <c r="AE76" s="314"/>
      <c r="AF76" s="310"/>
      <c r="AG76" s="310"/>
      <c r="AH76" s="310"/>
      <c r="AI76" s="314"/>
      <c r="AJ76" s="309"/>
      <c r="AK76" s="313"/>
      <c r="AL76" s="313"/>
      <c r="AM76" s="313"/>
      <c r="AN76" s="313"/>
      <c r="AO76" s="313"/>
      <c r="AP76" s="310"/>
      <c r="AQ76" s="314"/>
      <c r="AR76" s="314"/>
      <c r="AS76" s="71"/>
      <c r="AT76" s="71"/>
      <c r="AU76" s="71"/>
      <c r="AV76" s="71"/>
      <c r="AW76" s="71"/>
      <c r="AX76" s="71"/>
      <c r="AY76" s="71"/>
      <c r="AZ76" s="71"/>
      <c r="BA76" s="71"/>
      <c r="BB76" s="71"/>
      <c r="BC76" s="71"/>
      <c r="BD76" s="71"/>
      <c r="BE76" s="71"/>
      <c r="BF76" s="71"/>
      <c r="BG76" s="71"/>
      <c r="BH76" s="71"/>
      <c r="BI76" s="71"/>
    </row>
    <row r="77" spans="1:61" x14ac:dyDescent="0.2">
      <c r="A77" s="73"/>
      <c r="B77" s="73"/>
      <c r="C77" s="73"/>
      <c r="D77" s="71"/>
      <c r="E77" s="73"/>
      <c r="F77" s="73"/>
      <c r="G77" s="73"/>
      <c r="H77" s="73"/>
      <c r="I77" s="73"/>
      <c r="J77" s="295"/>
      <c r="K77" s="295"/>
      <c r="L77" s="308"/>
      <c r="M77" s="310"/>
      <c r="N77" s="314"/>
      <c r="O77" s="314"/>
      <c r="P77" s="313"/>
      <c r="Q77" s="313"/>
      <c r="R77" s="313"/>
      <c r="S77" s="313"/>
      <c r="T77" s="313"/>
      <c r="U77" s="313"/>
      <c r="V77" s="314"/>
      <c r="W77" s="314"/>
      <c r="X77" s="310"/>
      <c r="Y77" s="310"/>
      <c r="Z77" s="310"/>
      <c r="AA77" s="314"/>
      <c r="AB77" s="310"/>
      <c r="AC77" s="314"/>
      <c r="AD77" s="314"/>
      <c r="AE77" s="314"/>
      <c r="AF77" s="314"/>
      <c r="AG77" s="314"/>
      <c r="AH77" s="310"/>
      <c r="AI77" s="314"/>
      <c r="AJ77" s="314"/>
      <c r="AK77" s="309"/>
      <c r="AL77" s="313"/>
      <c r="AM77" s="313"/>
      <c r="AN77" s="313"/>
      <c r="AO77" s="310"/>
      <c r="AP77" s="313"/>
      <c r="AQ77" s="314"/>
      <c r="AR77" s="314"/>
      <c r="AS77" s="71"/>
      <c r="AT77" s="71"/>
      <c r="AU77" s="71"/>
      <c r="AV77" s="71"/>
      <c r="AW77" s="71"/>
      <c r="AX77" s="71"/>
      <c r="AY77" s="71"/>
      <c r="AZ77" s="71"/>
      <c r="BA77" s="71"/>
      <c r="BB77" s="71"/>
      <c r="BC77" s="71"/>
      <c r="BD77" s="71"/>
      <c r="BE77" s="71"/>
      <c r="BF77" s="71"/>
      <c r="BG77" s="71"/>
      <c r="BH77" s="71"/>
      <c r="BI77" s="71"/>
    </row>
    <row r="78" spans="1:61" x14ac:dyDescent="0.2">
      <c r="A78" s="73"/>
      <c r="B78" s="73"/>
      <c r="C78" s="73"/>
      <c r="D78" s="71"/>
      <c r="E78" s="73"/>
      <c r="F78" s="73"/>
      <c r="G78" s="73"/>
      <c r="H78" s="73"/>
      <c r="I78" s="73"/>
      <c r="J78" s="295"/>
      <c r="K78" s="295"/>
      <c r="L78" s="308"/>
      <c r="M78" s="314"/>
      <c r="N78" s="314"/>
      <c r="O78" s="314"/>
      <c r="P78" s="313"/>
      <c r="Q78" s="313"/>
      <c r="R78" s="313"/>
      <c r="S78" s="313"/>
      <c r="T78" s="313"/>
      <c r="U78" s="313"/>
      <c r="V78" s="314"/>
      <c r="W78" s="314"/>
      <c r="X78" s="314"/>
      <c r="Y78" s="314"/>
      <c r="Z78" s="314"/>
      <c r="AA78" s="314"/>
      <c r="AB78" s="314"/>
      <c r="AC78" s="314"/>
      <c r="AD78" s="314"/>
      <c r="AE78" s="314"/>
      <c r="AF78" s="314"/>
      <c r="AG78" s="314"/>
      <c r="AH78" s="314"/>
      <c r="AI78" s="314"/>
      <c r="AJ78" s="314"/>
      <c r="AK78" s="314"/>
      <c r="AL78" s="309"/>
      <c r="AM78" s="313"/>
      <c r="AN78" s="313"/>
      <c r="AO78" s="313"/>
      <c r="AP78" s="313"/>
      <c r="AQ78" s="314"/>
      <c r="AR78" s="314"/>
      <c r="AS78" s="71"/>
      <c r="AT78" s="71"/>
      <c r="AU78" s="71"/>
      <c r="AV78" s="71"/>
      <c r="AW78" s="71"/>
      <c r="AX78" s="71"/>
      <c r="AY78" s="71"/>
      <c r="AZ78" s="71"/>
      <c r="BA78" s="71"/>
      <c r="BB78" s="71"/>
      <c r="BC78" s="71"/>
      <c r="BD78" s="71"/>
      <c r="BE78" s="71"/>
      <c r="BF78" s="71"/>
      <c r="BG78" s="71"/>
      <c r="BH78" s="71"/>
      <c r="BI78" s="71"/>
    </row>
    <row r="79" spans="1:61" x14ac:dyDescent="0.2">
      <c r="A79" s="73"/>
      <c r="B79" s="73"/>
      <c r="C79" s="73"/>
      <c r="D79" s="73"/>
      <c r="E79" s="73"/>
      <c r="F79" s="73"/>
      <c r="G79" s="73"/>
      <c r="H79" s="73"/>
      <c r="I79" s="73"/>
      <c r="J79" s="295"/>
      <c r="K79" s="295"/>
      <c r="L79" s="295"/>
      <c r="M79" s="308"/>
      <c r="N79" s="314"/>
      <c r="O79" s="314"/>
      <c r="P79" s="314"/>
      <c r="Q79" s="313"/>
      <c r="R79" s="313"/>
      <c r="S79" s="313"/>
      <c r="T79" s="313"/>
      <c r="U79" s="313"/>
      <c r="V79" s="313"/>
      <c r="W79" s="314"/>
      <c r="X79" s="314"/>
      <c r="Y79" s="314"/>
      <c r="Z79" s="314"/>
      <c r="AA79" s="314"/>
      <c r="AB79" s="314"/>
      <c r="AC79" s="314"/>
      <c r="AD79" s="314"/>
      <c r="AE79" s="314"/>
      <c r="AF79" s="314"/>
      <c r="AG79" s="314"/>
      <c r="AH79" s="314"/>
      <c r="AI79" s="314"/>
      <c r="AJ79" s="314"/>
      <c r="AK79" s="314"/>
      <c r="AL79" s="314"/>
      <c r="AM79" s="314"/>
      <c r="AN79" s="309"/>
      <c r="AO79" s="313"/>
      <c r="AP79" s="313"/>
      <c r="AQ79" s="313"/>
      <c r="AR79" s="314"/>
      <c r="AS79" s="76"/>
      <c r="AT79" s="71"/>
      <c r="AU79" s="71"/>
      <c r="AV79" s="71"/>
      <c r="AW79" s="71"/>
      <c r="AX79" s="71"/>
      <c r="AY79" s="71"/>
      <c r="AZ79" s="71"/>
      <c r="BA79" s="71"/>
      <c r="BB79" s="71"/>
      <c r="BC79" s="71"/>
      <c r="BD79" s="71"/>
      <c r="BE79" s="71"/>
      <c r="BF79" s="71"/>
      <c r="BG79" s="71"/>
      <c r="BH79" s="71"/>
      <c r="BI79" s="71"/>
    </row>
    <row r="80" spans="1:61" x14ac:dyDescent="0.2">
      <c r="A80" s="73"/>
      <c r="B80" s="73"/>
      <c r="C80" s="73"/>
      <c r="D80" s="73"/>
      <c r="E80" s="73"/>
      <c r="F80" s="73"/>
      <c r="G80" s="73"/>
      <c r="H80" s="73"/>
      <c r="I80" s="73"/>
      <c r="J80" s="295"/>
      <c r="K80" s="295"/>
      <c r="L80" s="295"/>
      <c r="M80" s="308"/>
      <c r="N80" s="310"/>
      <c r="O80" s="310"/>
      <c r="P80" s="310"/>
      <c r="Q80" s="314"/>
      <c r="R80" s="313"/>
      <c r="S80" s="313"/>
      <c r="T80" s="313"/>
      <c r="U80" s="310"/>
      <c r="V80" s="310"/>
      <c r="W80" s="314"/>
      <c r="X80" s="314"/>
      <c r="Y80" s="314"/>
      <c r="Z80" s="314"/>
      <c r="AA80" s="314"/>
      <c r="AB80" s="314"/>
      <c r="AC80" s="314"/>
      <c r="AD80" s="314"/>
      <c r="AE80" s="314"/>
      <c r="AF80" s="314"/>
      <c r="AG80" s="314"/>
      <c r="AH80" s="314"/>
      <c r="AI80" s="314"/>
      <c r="AJ80" s="314"/>
      <c r="AK80" s="314"/>
      <c r="AL80" s="314"/>
      <c r="AM80" s="314"/>
      <c r="AN80" s="314"/>
      <c r="AO80" s="309"/>
      <c r="AP80" s="313"/>
      <c r="AQ80" s="313"/>
      <c r="AR80" s="314"/>
      <c r="AS80" s="76"/>
      <c r="AT80" s="71"/>
      <c r="AU80" s="71"/>
      <c r="AV80" s="71"/>
      <c r="AW80" s="71"/>
      <c r="AX80" s="71"/>
      <c r="AY80" s="71"/>
      <c r="AZ80" s="71"/>
      <c r="BA80" s="71"/>
      <c r="BB80" s="71"/>
      <c r="BC80" s="71"/>
      <c r="BD80" s="71"/>
      <c r="BE80" s="71"/>
      <c r="BF80" s="71"/>
      <c r="BG80" s="71"/>
      <c r="BH80" s="71"/>
      <c r="BI80" s="71"/>
    </row>
    <row r="81" spans="1:61" x14ac:dyDescent="0.2">
      <c r="A81" s="73"/>
      <c r="B81" s="73"/>
      <c r="C81" s="73"/>
      <c r="D81" s="73"/>
      <c r="E81" s="73"/>
      <c r="F81" s="73"/>
      <c r="G81" s="73"/>
      <c r="H81" s="73"/>
      <c r="I81" s="73"/>
      <c r="J81" s="295"/>
      <c r="K81" s="295"/>
      <c r="L81" s="295"/>
      <c r="M81" s="308"/>
      <c r="N81" s="310"/>
      <c r="O81" s="314"/>
      <c r="P81" s="314"/>
      <c r="Q81" s="314"/>
      <c r="R81" s="313"/>
      <c r="S81" s="313"/>
      <c r="T81" s="313"/>
      <c r="U81" s="313"/>
      <c r="V81" s="313"/>
      <c r="W81" s="314"/>
      <c r="X81" s="314"/>
      <c r="Y81" s="310"/>
      <c r="Z81" s="310"/>
      <c r="AA81" s="310"/>
      <c r="AB81" s="314"/>
      <c r="AC81" s="310"/>
      <c r="AD81" s="314"/>
      <c r="AE81" s="314"/>
      <c r="AF81" s="314"/>
      <c r="AG81" s="314"/>
      <c r="AH81" s="314"/>
      <c r="AI81" s="310"/>
      <c r="AJ81" s="314"/>
      <c r="AK81" s="314"/>
      <c r="AL81" s="310"/>
      <c r="AM81" s="314"/>
      <c r="AN81" s="314"/>
      <c r="AO81" s="314"/>
      <c r="AP81" s="309"/>
      <c r="AQ81" s="313"/>
      <c r="AR81" s="314"/>
      <c r="AS81" s="76"/>
      <c r="AT81" s="71"/>
      <c r="AU81" s="71"/>
      <c r="AV81" s="71"/>
      <c r="AW81" s="71"/>
      <c r="AX81" s="71"/>
      <c r="AY81" s="71"/>
      <c r="AZ81" s="71"/>
      <c r="BA81" s="71"/>
      <c r="BB81" s="71"/>
      <c r="BC81" s="71"/>
      <c r="BD81" s="71"/>
      <c r="BE81" s="71"/>
      <c r="BF81" s="71"/>
      <c r="BG81" s="71"/>
      <c r="BH81" s="71"/>
      <c r="BI81" s="71"/>
    </row>
    <row r="82" spans="1:61" x14ac:dyDescent="0.2">
      <c r="A82" s="73"/>
      <c r="B82" s="73"/>
      <c r="C82" s="73"/>
      <c r="D82" s="73"/>
      <c r="E82" s="73"/>
      <c r="F82" s="73"/>
      <c r="G82" s="73"/>
      <c r="H82" s="73"/>
      <c r="I82" s="73"/>
      <c r="J82" s="295"/>
      <c r="K82" s="295"/>
      <c r="L82" s="295"/>
      <c r="M82" s="308"/>
      <c r="N82" s="310"/>
      <c r="O82" s="310"/>
      <c r="P82" s="311"/>
      <c r="Q82" s="310"/>
      <c r="R82" s="313"/>
      <c r="S82" s="310"/>
      <c r="T82" s="313"/>
      <c r="U82" s="313"/>
      <c r="V82" s="313"/>
      <c r="W82" s="310"/>
      <c r="X82" s="314"/>
      <c r="Y82" s="310"/>
      <c r="Z82" s="310"/>
      <c r="AA82" s="310"/>
      <c r="AB82" s="310"/>
      <c r="AC82" s="310"/>
      <c r="AD82" s="310"/>
      <c r="AE82" s="310"/>
      <c r="AF82" s="314"/>
      <c r="AG82" s="310"/>
      <c r="AH82" s="310"/>
      <c r="AI82" s="310"/>
      <c r="AJ82" s="314"/>
      <c r="AK82" s="310"/>
      <c r="AL82" s="314"/>
      <c r="AM82" s="314"/>
      <c r="AN82" s="314"/>
      <c r="AO82" s="314"/>
      <c r="AP82" s="314"/>
      <c r="AQ82" s="309"/>
      <c r="AR82" s="314"/>
      <c r="AS82" s="76"/>
      <c r="AT82" s="71"/>
      <c r="AU82" s="71"/>
      <c r="AV82" s="71"/>
      <c r="AW82" s="71"/>
      <c r="AX82" s="71"/>
      <c r="AY82" s="71"/>
      <c r="AZ82" s="71"/>
      <c r="BA82" s="71"/>
      <c r="BB82" s="71"/>
      <c r="BC82" s="71"/>
      <c r="BD82" s="71"/>
      <c r="BE82" s="71"/>
      <c r="BF82" s="71"/>
      <c r="BG82" s="71"/>
      <c r="BH82" s="71"/>
      <c r="BI82" s="71"/>
    </row>
    <row r="83" spans="1:61" x14ac:dyDescent="0.2">
      <c r="A83" s="73"/>
      <c r="B83" s="73"/>
      <c r="C83" s="73"/>
      <c r="D83" s="74"/>
      <c r="E83" s="74"/>
      <c r="F83" s="73"/>
      <c r="G83" s="73"/>
      <c r="H83" s="73"/>
      <c r="I83" s="73"/>
      <c r="J83" s="295"/>
      <c r="K83" s="295"/>
      <c r="L83" s="295"/>
      <c r="M83" s="308"/>
      <c r="N83" s="310"/>
      <c r="O83" s="310"/>
      <c r="P83" s="310"/>
      <c r="Q83" s="313"/>
      <c r="R83" s="313"/>
      <c r="S83" s="310"/>
      <c r="T83" s="313"/>
      <c r="U83" s="313"/>
      <c r="V83" s="313"/>
      <c r="W83" s="313"/>
      <c r="X83" s="313"/>
      <c r="Y83" s="313"/>
      <c r="Z83" s="313"/>
      <c r="AA83" s="313"/>
      <c r="AB83" s="313"/>
      <c r="AC83" s="313"/>
      <c r="AD83" s="313"/>
      <c r="AE83" s="313"/>
      <c r="AF83" s="313"/>
      <c r="AG83" s="313"/>
      <c r="AH83" s="313"/>
      <c r="AI83" s="313"/>
      <c r="AJ83" s="313"/>
      <c r="AK83" s="313"/>
      <c r="AL83" s="313"/>
      <c r="AM83" s="313"/>
      <c r="AN83" s="313"/>
      <c r="AO83" s="313"/>
      <c r="AP83" s="313"/>
      <c r="AQ83" s="313"/>
      <c r="AR83" s="309"/>
      <c r="AS83" s="75"/>
      <c r="AT83" s="71"/>
      <c r="AU83" s="71"/>
      <c r="AV83" s="71"/>
      <c r="AW83" s="71"/>
      <c r="AX83" s="71"/>
      <c r="AY83" s="71"/>
      <c r="AZ83" s="71"/>
      <c r="BA83" s="71"/>
      <c r="BB83" s="71"/>
      <c r="BC83" s="71"/>
      <c r="BD83" s="71"/>
      <c r="BE83" s="71"/>
      <c r="BF83" s="71"/>
      <c r="BG83" s="71"/>
      <c r="BH83" s="71"/>
      <c r="BI83" s="71"/>
    </row>
    <row r="84" spans="1:61" x14ac:dyDescent="0.2">
      <c r="A84" s="73"/>
      <c r="B84" s="73"/>
      <c r="C84" s="73"/>
      <c r="D84" s="74"/>
      <c r="E84" s="74"/>
      <c r="F84" s="73"/>
      <c r="G84" s="73"/>
      <c r="H84" s="73"/>
      <c r="I84" s="73"/>
      <c r="J84" s="295"/>
      <c r="K84" s="295"/>
      <c r="L84" s="295"/>
      <c r="M84" s="308"/>
      <c r="N84" s="310"/>
      <c r="O84" s="310"/>
      <c r="P84" s="310"/>
      <c r="Q84" s="313"/>
      <c r="R84" s="313"/>
      <c r="S84" s="310"/>
      <c r="T84" s="313"/>
      <c r="U84" s="313"/>
      <c r="V84" s="313"/>
      <c r="W84" s="313"/>
      <c r="X84" s="313"/>
      <c r="Y84" s="313"/>
      <c r="Z84" s="313"/>
      <c r="AA84" s="313"/>
      <c r="AB84" s="313"/>
      <c r="AC84" s="313"/>
      <c r="AD84" s="313"/>
      <c r="AE84" s="313"/>
      <c r="AF84" s="313"/>
      <c r="AG84" s="313"/>
      <c r="AH84" s="313"/>
      <c r="AI84" s="313"/>
      <c r="AJ84" s="313"/>
      <c r="AK84" s="313"/>
      <c r="AL84" s="313"/>
      <c r="AM84" s="313"/>
      <c r="AN84" s="313"/>
      <c r="AO84" s="313"/>
      <c r="AP84" s="313"/>
      <c r="AQ84" s="313"/>
      <c r="AR84" s="310"/>
      <c r="AS84" s="80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71"/>
      <c r="BG84" s="71"/>
      <c r="BH84" s="71"/>
      <c r="BI84" s="71"/>
    </row>
    <row r="85" spans="1:61" x14ac:dyDescent="0.2">
      <c r="A85" s="73"/>
      <c r="B85" s="73"/>
      <c r="C85" s="73"/>
      <c r="D85" s="74"/>
      <c r="E85" s="74"/>
      <c r="F85" s="73"/>
      <c r="G85" s="73"/>
      <c r="H85" s="73"/>
      <c r="I85" s="73"/>
      <c r="J85" s="295"/>
      <c r="K85" s="295"/>
      <c r="L85" s="295"/>
      <c r="M85" s="295"/>
      <c r="N85" s="295"/>
      <c r="O85" s="295"/>
      <c r="P85" s="295"/>
      <c r="Q85" s="295"/>
      <c r="R85" s="295"/>
      <c r="S85" s="295"/>
      <c r="T85" s="295"/>
      <c r="U85" s="295"/>
      <c r="V85" s="295"/>
      <c r="W85" s="295"/>
      <c r="X85" s="295"/>
      <c r="Y85" s="295"/>
      <c r="Z85" s="295"/>
      <c r="AA85" s="295"/>
      <c r="AB85" s="295"/>
      <c r="AC85" s="295"/>
      <c r="AD85" s="295"/>
      <c r="AE85" s="295"/>
      <c r="AF85" s="295"/>
      <c r="AG85" s="295"/>
      <c r="AH85" s="295"/>
      <c r="AI85" s="295"/>
      <c r="AJ85" s="295"/>
      <c r="AK85" s="295"/>
      <c r="AL85" s="295"/>
      <c r="AM85" s="294"/>
      <c r="AN85" s="294"/>
      <c r="AO85" s="294"/>
      <c r="AP85" s="294"/>
      <c r="AQ85" s="294"/>
      <c r="AR85" s="294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</row>
    <row r="86" spans="1:61" x14ac:dyDescent="0.2">
      <c r="A86" s="73"/>
      <c r="B86" s="73"/>
      <c r="C86" s="73"/>
      <c r="D86" s="74"/>
      <c r="E86" s="74"/>
      <c r="F86" s="73"/>
      <c r="G86" s="73"/>
      <c r="H86" s="73"/>
      <c r="I86" s="73"/>
      <c r="J86" s="295"/>
      <c r="K86" s="295"/>
      <c r="L86" s="295"/>
      <c r="M86" s="295"/>
      <c r="N86" s="295"/>
      <c r="O86" s="295"/>
      <c r="P86" s="295"/>
      <c r="Q86" s="295"/>
      <c r="R86" s="295"/>
      <c r="S86" s="295"/>
      <c r="T86" s="295"/>
      <c r="U86" s="295"/>
      <c r="V86" s="295"/>
      <c r="W86" s="295"/>
      <c r="X86" s="295"/>
      <c r="Y86" s="295"/>
      <c r="Z86" s="295"/>
      <c r="AA86" s="295"/>
      <c r="AB86" s="295"/>
      <c r="AC86" s="295"/>
      <c r="AD86" s="295"/>
      <c r="AE86" s="295"/>
      <c r="AF86" s="295"/>
      <c r="AG86" s="295"/>
      <c r="AH86" s="295"/>
      <c r="AI86" s="295"/>
      <c r="AJ86" s="295"/>
      <c r="AK86" s="295"/>
      <c r="AL86" s="295"/>
      <c r="AM86" s="294"/>
      <c r="AN86" s="294"/>
      <c r="AO86" s="294"/>
      <c r="AP86" s="294"/>
      <c r="AQ86" s="294"/>
      <c r="AR86" s="294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</row>
    <row r="87" spans="1:61" x14ac:dyDescent="0.2">
      <c r="A87" s="73"/>
      <c r="B87" s="73"/>
      <c r="C87" s="73"/>
      <c r="D87" s="74"/>
      <c r="E87" s="74"/>
      <c r="F87" s="73"/>
      <c r="G87" s="73"/>
      <c r="H87" s="73"/>
      <c r="I87" s="73"/>
      <c r="J87" s="295"/>
      <c r="K87" s="295"/>
      <c r="L87" s="295"/>
      <c r="M87" s="295"/>
      <c r="N87" s="295"/>
      <c r="O87" s="295"/>
      <c r="P87" s="295"/>
      <c r="Q87" s="295"/>
      <c r="R87" s="295"/>
      <c r="S87" s="295"/>
      <c r="T87" s="295"/>
      <c r="U87" s="295"/>
      <c r="V87" s="295"/>
      <c r="W87" s="295"/>
      <c r="X87" s="295"/>
      <c r="Y87" s="295"/>
      <c r="Z87" s="295"/>
      <c r="AA87" s="295"/>
      <c r="AB87" s="295"/>
      <c r="AC87" s="295"/>
      <c r="AD87" s="295"/>
      <c r="AE87" s="295"/>
      <c r="AF87" s="295"/>
      <c r="AG87" s="295"/>
      <c r="AH87" s="295"/>
      <c r="AI87" s="295"/>
      <c r="AJ87" s="295"/>
      <c r="AK87" s="295"/>
      <c r="AL87" s="295"/>
      <c r="AM87" s="294"/>
      <c r="AN87" s="294"/>
      <c r="AO87" s="294"/>
      <c r="AP87" s="294"/>
      <c r="AQ87" s="294"/>
      <c r="AR87" s="294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  <c r="BE87" s="71"/>
      <c r="BF87" s="71"/>
      <c r="BG87" s="71"/>
      <c r="BH87" s="71"/>
      <c r="BI87" s="71"/>
    </row>
    <row r="88" spans="1:61" x14ac:dyDescent="0.2">
      <c r="A88" s="73"/>
      <c r="B88" s="73"/>
      <c r="C88" s="73"/>
      <c r="D88" s="74"/>
      <c r="E88" s="74"/>
      <c r="F88" s="73"/>
      <c r="G88" s="73"/>
      <c r="H88" s="73"/>
      <c r="I88" s="73"/>
      <c r="J88" s="295"/>
      <c r="K88" s="295"/>
      <c r="L88" s="295"/>
      <c r="M88" s="295"/>
      <c r="N88" s="295"/>
      <c r="O88" s="295"/>
      <c r="P88" s="295"/>
      <c r="Q88" s="295"/>
      <c r="R88" s="295"/>
      <c r="S88" s="295"/>
      <c r="T88" s="295"/>
      <c r="U88" s="295"/>
      <c r="V88" s="295"/>
      <c r="W88" s="295"/>
      <c r="X88" s="295"/>
      <c r="Y88" s="295"/>
      <c r="Z88" s="295"/>
      <c r="AA88" s="295"/>
      <c r="AB88" s="295"/>
      <c r="AC88" s="295"/>
      <c r="AD88" s="295"/>
      <c r="AE88" s="295"/>
      <c r="AF88" s="295"/>
      <c r="AG88" s="295"/>
      <c r="AH88" s="295"/>
      <c r="AI88" s="295"/>
      <c r="AJ88" s="295"/>
      <c r="AK88" s="295"/>
      <c r="AL88" s="295"/>
      <c r="AM88" s="294"/>
      <c r="AN88" s="294"/>
      <c r="AO88" s="294"/>
      <c r="AP88" s="294"/>
      <c r="AQ88" s="294"/>
      <c r="AR88" s="294"/>
      <c r="AS88" s="71"/>
      <c r="AT88" s="71"/>
      <c r="AU88" s="71"/>
      <c r="AV88" s="71"/>
      <c r="AW88" s="71"/>
      <c r="AX88" s="71"/>
      <c r="AY88" s="71"/>
      <c r="AZ88" s="71"/>
      <c r="BA88" s="71"/>
      <c r="BB88" s="71"/>
      <c r="BC88" s="71"/>
      <c r="BD88" s="71"/>
      <c r="BE88" s="71"/>
      <c r="BF88" s="71"/>
      <c r="BG88" s="71"/>
      <c r="BH88" s="71"/>
      <c r="BI88" s="71"/>
    </row>
    <row r="89" spans="1:61" x14ac:dyDescent="0.2">
      <c r="A89" s="73"/>
      <c r="B89" s="73"/>
      <c r="C89" s="73"/>
      <c r="D89" s="74"/>
      <c r="E89" s="74"/>
      <c r="F89" s="73"/>
      <c r="G89" s="73"/>
      <c r="H89" s="73"/>
      <c r="I89" s="73"/>
      <c r="J89" s="295"/>
      <c r="K89" s="295"/>
      <c r="L89" s="295"/>
      <c r="M89" s="295"/>
      <c r="N89" s="295"/>
      <c r="O89" s="295"/>
      <c r="P89" s="295"/>
      <c r="Q89" s="295"/>
      <c r="R89" s="295"/>
      <c r="S89" s="295"/>
      <c r="T89" s="295"/>
      <c r="U89" s="295"/>
      <c r="V89" s="295"/>
      <c r="W89" s="295"/>
      <c r="X89" s="295"/>
      <c r="Y89" s="295"/>
      <c r="Z89" s="295"/>
      <c r="AA89" s="295"/>
      <c r="AB89" s="295"/>
      <c r="AC89" s="295"/>
      <c r="AD89" s="295"/>
      <c r="AE89" s="295"/>
      <c r="AF89" s="295"/>
      <c r="AG89" s="295"/>
      <c r="AH89" s="295"/>
      <c r="AI89" s="295"/>
      <c r="AJ89" s="295"/>
      <c r="AK89" s="295"/>
      <c r="AL89" s="295"/>
      <c r="AM89" s="294"/>
      <c r="AN89" s="294"/>
      <c r="AO89" s="294"/>
      <c r="AP89" s="294"/>
      <c r="AQ89" s="294"/>
      <c r="AR89" s="294"/>
      <c r="AS89" s="71"/>
      <c r="AT89" s="71"/>
      <c r="AU89" s="71"/>
      <c r="AV89" s="71"/>
      <c r="AW89" s="71"/>
      <c r="AX89" s="71"/>
      <c r="AY89" s="71"/>
      <c r="AZ89" s="71"/>
      <c r="BA89" s="71"/>
      <c r="BB89" s="71"/>
      <c r="BC89" s="71"/>
      <c r="BD89" s="71"/>
      <c r="BE89" s="71"/>
      <c r="BF89" s="71"/>
      <c r="BG89" s="71"/>
      <c r="BH89" s="71"/>
      <c r="BI89" s="71"/>
    </row>
    <row r="90" spans="1:61" x14ac:dyDescent="0.2">
      <c r="A90" s="73"/>
      <c r="B90" s="73"/>
      <c r="C90" s="73"/>
      <c r="D90" s="74"/>
      <c r="E90" s="74"/>
      <c r="F90" s="73"/>
      <c r="G90" s="73"/>
      <c r="H90" s="73"/>
      <c r="I90" s="73"/>
      <c r="J90" s="295"/>
      <c r="K90" s="295"/>
      <c r="L90" s="295"/>
      <c r="M90" s="295"/>
      <c r="N90" s="295"/>
      <c r="O90" s="295"/>
      <c r="P90" s="295"/>
      <c r="Q90" s="295"/>
      <c r="R90" s="295"/>
      <c r="S90" s="295"/>
      <c r="T90" s="295"/>
      <c r="U90" s="295"/>
      <c r="V90" s="295"/>
      <c r="W90" s="295"/>
      <c r="X90" s="295"/>
      <c r="Y90" s="295"/>
      <c r="Z90" s="295"/>
      <c r="AA90" s="295"/>
      <c r="AB90" s="295"/>
      <c r="AC90" s="295"/>
      <c r="AD90" s="295"/>
      <c r="AE90" s="295"/>
      <c r="AF90" s="295"/>
      <c r="AG90" s="295"/>
      <c r="AH90" s="295"/>
      <c r="AI90" s="295"/>
      <c r="AJ90" s="295"/>
      <c r="AK90" s="295"/>
      <c r="AL90" s="295"/>
      <c r="AM90" s="294"/>
      <c r="AN90" s="294"/>
      <c r="AO90" s="294"/>
      <c r="AP90" s="294"/>
      <c r="AQ90" s="294"/>
      <c r="AR90" s="294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  <c r="BE90" s="71"/>
      <c r="BF90" s="71"/>
      <c r="BG90" s="71"/>
      <c r="BH90" s="71"/>
      <c r="BI90" s="71"/>
    </row>
    <row r="91" spans="1:61" x14ac:dyDescent="0.2">
      <c r="A91" s="73"/>
      <c r="B91" s="73"/>
      <c r="C91" s="73"/>
      <c r="D91" s="74"/>
      <c r="E91" s="74"/>
      <c r="F91" s="73"/>
      <c r="G91" s="73"/>
      <c r="H91" s="73"/>
      <c r="I91" s="73"/>
      <c r="J91" s="295"/>
      <c r="K91" s="295"/>
      <c r="L91" s="295"/>
      <c r="M91" s="295"/>
      <c r="N91" s="295"/>
      <c r="O91" s="295"/>
      <c r="P91" s="295"/>
      <c r="Q91" s="295"/>
      <c r="R91" s="295"/>
      <c r="S91" s="295"/>
      <c r="T91" s="295"/>
      <c r="U91" s="295"/>
      <c r="V91" s="295"/>
      <c r="W91" s="295"/>
      <c r="X91" s="295"/>
      <c r="Y91" s="295"/>
      <c r="Z91" s="295"/>
      <c r="AA91" s="295"/>
      <c r="AB91" s="295"/>
      <c r="AC91" s="295"/>
      <c r="AD91" s="295"/>
      <c r="AE91" s="295"/>
      <c r="AF91" s="295"/>
      <c r="AG91" s="295"/>
      <c r="AH91" s="295"/>
      <c r="AI91" s="295"/>
      <c r="AJ91" s="295"/>
      <c r="AK91" s="295"/>
      <c r="AL91" s="295"/>
      <c r="AM91" s="294"/>
      <c r="AN91" s="294"/>
      <c r="AO91" s="294"/>
      <c r="AP91" s="294"/>
      <c r="AQ91" s="294"/>
      <c r="AR91" s="294"/>
      <c r="AS91" s="71"/>
      <c r="AT91" s="71"/>
      <c r="AU91" s="71"/>
      <c r="AV91" s="71"/>
      <c r="AW91" s="71"/>
      <c r="AX91" s="71"/>
      <c r="AY91" s="71"/>
      <c r="AZ91" s="71"/>
      <c r="BA91" s="71"/>
      <c r="BB91" s="71"/>
      <c r="BC91" s="71"/>
      <c r="BD91" s="71"/>
      <c r="BE91" s="71"/>
      <c r="BF91" s="71"/>
      <c r="BG91" s="71"/>
      <c r="BH91" s="71"/>
      <c r="BI91" s="71"/>
    </row>
    <row r="92" spans="1:61" x14ac:dyDescent="0.2">
      <c r="A92" s="73"/>
      <c r="B92" s="73"/>
      <c r="C92" s="73"/>
      <c r="D92" s="74"/>
      <c r="E92" s="74"/>
      <c r="F92" s="73"/>
      <c r="G92" s="73"/>
      <c r="H92" s="73"/>
      <c r="I92" s="73"/>
      <c r="J92" s="295"/>
      <c r="K92" s="295"/>
      <c r="L92" s="295"/>
      <c r="M92" s="295"/>
      <c r="N92" s="295"/>
      <c r="O92" s="295"/>
      <c r="P92" s="295"/>
      <c r="Q92" s="295"/>
      <c r="R92" s="295"/>
      <c r="S92" s="295"/>
      <c r="T92" s="295"/>
      <c r="U92" s="295"/>
      <c r="V92" s="295"/>
      <c r="W92" s="295"/>
      <c r="X92" s="295"/>
      <c r="Y92" s="295"/>
      <c r="Z92" s="295"/>
      <c r="AA92" s="295"/>
      <c r="AB92" s="295"/>
      <c r="AC92" s="295"/>
      <c r="AD92" s="295"/>
      <c r="AE92" s="295"/>
      <c r="AF92" s="295"/>
      <c r="AG92" s="295"/>
      <c r="AH92" s="295"/>
      <c r="AI92" s="295"/>
      <c r="AJ92" s="295"/>
      <c r="AK92" s="295"/>
      <c r="AL92" s="295"/>
      <c r="AM92" s="294"/>
      <c r="AN92" s="294"/>
      <c r="AO92" s="294"/>
      <c r="AP92" s="294"/>
      <c r="AQ92" s="294"/>
      <c r="AR92" s="294"/>
      <c r="AS92" s="71"/>
      <c r="AT92" s="71"/>
      <c r="AU92" s="71"/>
      <c r="AV92" s="71"/>
      <c r="AW92" s="71"/>
      <c r="AX92" s="71"/>
      <c r="AY92" s="71"/>
      <c r="AZ92" s="71"/>
      <c r="BA92" s="71"/>
      <c r="BB92" s="71"/>
      <c r="BC92" s="71"/>
      <c r="BD92" s="71"/>
      <c r="BE92" s="71"/>
      <c r="BF92" s="71"/>
      <c r="BG92" s="71"/>
      <c r="BH92" s="71"/>
      <c r="BI92" s="71"/>
    </row>
    <row r="93" spans="1:61" x14ac:dyDescent="0.2">
      <c r="A93" s="73"/>
      <c r="B93" s="73"/>
      <c r="C93" s="73"/>
      <c r="D93" s="74"/>
      <c r="E93" s="74"/>
      <c r="F93" s="73"/>
      <c r="G93" s="73"/>
      <c r="H93" s="73"/>
      <c r="I93" s="73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5"/>
      <c r="AC93" s="295"/>
      <c r="AD93" s="295"/>
      <c r="AE93" s="295"/>
      <c r="AF93" s="295"/>
      <c r="AG93" s="295"/>
      <c r="AH93" s="295"/>
      <c r="AI93" s="295"/>
      <c r="AJ93" s="295"/>
      <c r="AK93" s="295"/>
      <c r="AL93" s="295"/>
      <c r="AM93" s="294"/>
      <c r="AN93" s="294"/>
      <c r="AO93" s="294"/>
      <c r="AP93" s="294"/>
      <c r="AQ93" s="294"/>
      <c r="AR93" s="294"/>
      <c r="AS93" s="71"/>
      <c r="AT93" s="71"/>
      <c r="AU93" s="71"/>
      <c r="AV93" s="71"/>
      <c r="AW93" s="71"/>
      <c r="AX93" s="71"/>
      <c r="AY93" s="71"/>
      <c r="AZ93" s="71"/>
      <c r="BA93" s="71"/>
      <c r="BB93" s="71"/>
      <c r="BC93" s="71"/>
      <c r="BD93" s="71"/>
      <c r="BE93" s="71"/>
      <c r="BF93" s="71"/>
      <c r="BG93" s="71"/>
      <c r="BH93" s="71"/>
      <c r="BI93" s="71"/>
    </row>
    <row r="94" spans="1:61" x14ac:dyDescent="0.2">
      <c r="A94" s="73"/>
      <c r="B94" s="73"/>
      <c r="C94" s="73"/>
      <c r="D94" s="74"/>
      <c r="E94" s="74"/>
      <c r="F94" s="73"/>
      <c r="G94" s="73"/>
      <c r="H94" s="73"/>
      <c r="I94" s="73"/>
      <c r="J94" s="295"/>
      <c r="K94" s="295"/>
      <c r="L94" s="295"/>
      <c r="M94" s="295"/>
      <c r="N94" s="295"/>
      <c r="O94" s="295"/>
      <c r="P94" s="295"/>
      <c r="Q94" s="295"/>
      <c r="R94" s="295"/>
      <c r="S94" s="295"/>
      <c r="T94" s="295"/>
      <c r="U94" s="295"/>
      <c r="V94" s="295"/>
      <c r="W94" s="295"/>
      <c r="X94" s="295"/>
      <c r="Y94" s="295"/>
      <c r="Z94" s="295"/>
      <c r="AA94" s="295"/>
      <c r="AB94" s="295"/>
      <c r="AC94" s="295"/>
      <c r="AD94" s="295"/>
      <c r="AE94" s="295"/>
      <c r="AF94" s="295"/>
      <c r="AG94" s="295"/>
      <c r="AH94" s="295"/>
      <c r="AI94" s="295"/>
      <c r="AJ94" s="295"/>
      <c r="AK94" s="295"/>
      <c r="AL94" s="295"/>
      <c r="AM94" s="294"/>
      <c r="AN94" s="294"/>
      <c r="AO94" s="294"/>
      <c r="AP94" s="294"/>
      <c r="AQ94" s="294"/>
      <c r="AR94" s="294"/>
      <c r="AS94" s="71"/>
      <c r="AT94" s="71"/>
      <c r="AU94" s="71"/>
      <c r="AV94" s="71"/>
      <c r="AW94" s="71"/>
      <c r="AX94" s="71"/>
      <c r="AY94" s="71"/>
      <c r="AZ94" s="71"/>
      <c r="BA94" s="71"/>
      <c r="BB94" s="71"/>
      <c r="BC94" s="71"/>
      <c r="BD94" s="71"/>
      <c r="BE94" s="71"/>
      <c r="BF94" s="71"/>
      <c r="BG94" s="71"/>
      <c r="BH94" s="71"/>
      <c r="BI94" s="71"/>
    </row>
    <row r="95" spans="1:61" x14ac:dyDescent="0.2">
      <c r="A95" s="73"/>
      <c r="B95" s="73"/>
      <c r="C95" s="73"/>
      <c r="D95" s="74"/>
      <c r="E95" s="74"/>
      <c r="F95" s="73"/>
      <c r="G95" s="73"/>
      <c r="H95" s="73"/>
      <c r="I95" s="73"/>
      <c r="J95" s="295"/>
      <c r="K95" s="295"/>
      <c r="L95" s="295"/>
      <c r="M95" s="295"/>
      <c r="N95" s="295"/>
      <c r="O95" s="295"/>
      <c r="P95" s="295"/>
      <c r="Q95" s="295"/>
      <c r="R95" s="295"/>
      <c r="S95" s="295"/>
      <c r="T95" s="295"/>
      <c r="U95" s="295"/>
      <c r="V95" s="295"/>
      <c r="W95" s="295"/>
      <c r="X95" s="295"/>
      <c r="Y95" s="295"/>
      <c r="Z95" s="295"/>
      <c r="AA95" s="295"/>
      <c r="AB95" s="295"/>
      <c r="AC95" s="295"/>
      <c r="AD95" s="295"/>
      <c r="AE95" s="295"/>
      <c r="AF95" s="295"/>
      <c r="AG95" s="295"/>
      <c r="AH95" s="295"/>
      <c r="AI95" s="295"/>
      <c r="AJ95" s="295"/>
      <c r="AK95" s="295"/>
      <c r="AL95" s="295"/>
      <c r="AM95" s="294"/>
      <c r="AN95" s="294"/>
      <c r="AO95" s="294"/>
      <c r="AP95" s="294"/>
      <c r="AQ95" s="294"/>
      <c r="AR95" s="294"/>
      <c r="AS95" s="71"/>
      <c r="AT95" s="71"/>
      <c r="AU95" s="71"/>
      <c r="AV95" s="71"/>
      <c r="AW95" s="71"/>
      <c r="AX95" s="71"/>
      <c r="AY95" s="71"/>
      <c r="AZ95" s="71"/>
      <c r="BA95" s="71"/>
      <c r="BB95" s="71"/>
      <c r="BC95" s="71"/>
      <c r="BD95" s="71"/>
      <c r="BE95" s="71"/>
      <c r="BF95" s="71"/>
      <c r="BG95" s="71"/>
      <c r="BH95" s="71"/>
      <c r="BI95" s="71"/>
    </row>
    <row r="96" spans="1:61" x14ac:dyDescent="0.2">
      <c r="A96" s="73"/>
      <c r="B96" s="73"/>
      <c r="C96" s="73"/>
      <c r="D96" s="74"/>
      <c r="E96" s="74"/>
      <c r="F96" s="73"/>
      <c r="G96" s="73"/>
      <c r="H96" s="73"/>
      <c r="I96" s="73"/>
      <c r="J96" s="295"/>
      <c r="K96" s="295"/>
      <c r="L96" s="295"/>
      <c r="M96" s="295"/>
      <c r="N96" s="295"/>
      <c r="O96" s="295"/>
      <c r="P96" s="295"/>
      <c r="Q96" s="295"/>
      <c r="R96" s="295"/>
      <c r="S96" s="295"/>
      <c r="T96" s="295"/>
      <c r="U96" s="295"/>
      <c r="V96" s="295"/>
      <c r="W96" s="295"/>
      <c r="X96" s="295"/>
      <c r="Y96" s="295"/>
      <c r="Z96" s="295"/>
      <c r="AA96" s="295"/>
      <c r="AB96" s="295"/>
      <c r="AC96" s="295"/>
      <c r="AD96" s="295"/>
      <c r="AE96" s="295"/>
      <c r="AF96" s="295"/>
      <c r="AG96" s="295"/>
      <c r="AH96" s="295"/>
      <c r="AI96" s="295"/>
      <c r="AJ96" s="295"/>
      <c r="AK96" s="295"/>
      <c r="AL96" s="295"/>
      <c r="AM96" s="294"/>
      <c r="AN96" s="294"/>
      <c r="AO96" s="294"/>
      <c r="AP96" s="294"/>
      <c r="AQ96" s="294"/>
      <c r="AR96" s="294"/>
      <c r="AS96" s="71"/>
      <c r="AT96" s="71"/>
      <c r="AU96" s="71"/>
      <c r="AV96" s="71"/>
      <c r="AW96" s="71"/>
      <c r="AX96" s="71"/>
      <c r="AY96" s="71"/>
      <c r="AZ96" s="71"/>
      <c r="BA96" s="71"/>
      <c r="BB96" s="71"/>
      <c r="BC96" s="71"/>
      <c r="BD96" s="71"/>
      <c r="BE96" s="71"/>
      <c r="BF96" s="71"/>
      <c r="BG96" s="71"/>
      <c r="BH96" s="71"/>
      <c r="BI96" s="71"/>
    </row>
    <row r="97" spans="1:61" x14ac:dyDescent="0.2">
      <c r="A97" s="73"/>
      <c r="B97" s="73"/>
      <c r="C97" s="73"/>
      <c r="D97" s="74"/>
      <c r="E97" s="74"/>
      <c r="F97" s="73"/>
      <c r="G97" s="73"/>
      <c r="H97" s="73"/>
      <c r="I97" s="73"/>
      <c r="J97" s="295"/>
      <c r="K97" s="295"/>
      <c r="L97" s="295"/>
      <c r="M97" s="295"/>
      <c r="N97" s="295"/>
      <c r="O97" s="295"/>
      <c r="P97" s="295"/>
      <c r="Q97" s="295"/>
      <c r="R97" s="295"/>
      <c r="S97" s="295"/>
      <c r="T97" s="295"/>
      <c r="U97" s="295"/>
      <c r="V97" s="295"/>
      <c r="W97" s="295"/>
      <c r="X97" s="295"/>
      <c r="Y97" s="295"/>
      <c r="Z97" s="295"/>
      <c r="AA97" s="295"/>
      <c r="AB97" s="295"/>
      <c r="AC97" s="295"/>
      <c r="AD97" s="295"/>
      <c r="AE97" s="295"/>
      <c r="AF97" s="295"/>
      <c r="AG97" s="295"/>
      <c r="AH97" s="295"/>
      <c r="AI97" s="295"/>
      <c r="AJ97" s="295"/>
      <c r="AK97" s="295"/>
      <c r="AL97" s="295"/>
      <c r="AM97" s="294"/>
      <c r="AN97" s="294"/>
      <c r="AO97" s="294"/>
      <c r="AP97" s="294"/>
      <c r="AQ97" s="294"/>
      <c r="AR97" s="294"/>
      <c r="AS97" s="71"/>
      <c r="AT97" s="71"/>
      <c r="AU97" s="71"/>
      <c r="AV97" s="71"/>
      <c r="AW97" s="71"/>
      <c r="AX97" s="71"/>
      <c r="AY97" s="71"/>
      <c r="AZ97" s="71"/>
      <c r="BA97" s="71"/>
      <c r="BB97" s="71"/>
      <c r="BC97" s="71"/>
      <c r="BD97" s="71"/>
      <c r="BE97" s="71"/>
      <c r="BF97" s="71"/>
      <c r="BG97" s="71"/>
      <c r="BH97" s="71"/>
      <c r="BI97" s="71"/>
    </row>
    <row r="98" spans="1:61" x14ac:dyDescent="0.2">
      <c r="A98" s="73"/>
      <c r="B98" s="73"/>
      <c r="C98" s="73"/>
      <c r="D98" s="74"/>
      <c r="E98" s="74"/>
      <c r="F98" s="73"/>
      <c r="G98" s="73"/>
      <c r="H98" s="73"/>
      <c r="I98" s="73"/>
      <c r="J98" s="295"/>
      <c r="K98" s="295"/>
      <c r="L98" s="295"/>
      <c r="M98" s="295"/>
      <c r="N98" s="295"/>
      <c r="O98" s="295"/>
      <c r="P98" s="295"/>
      <c r="Q98" s="295"/>
      <c r="R98" s="295"/>
      <c r="S98" s="295"/>
      <c r="T98" s="295"/>
      <c r="U98" s="295"/>
      <c r="V98" s="295"/>
      <c r="W98" s="295"/>
      <c r="X98" s="295"/>
      <c r="Y98" s="295"/>
      <c r="Z98" s="295"/>
      <c r="AA98" s="295"/>
      <c r="AB98" s="295"/>
      <c r="AC98" s="295"/>
      <c r="AD98" s="295"/>
      <c r="AE98" s="295"/>
      <c r="AF98" s="295"/>
      <c r="AG98" s="295"/>
      <c r="AH98" s="295"/>
      <c r="AI98" s="295"/>
      <c r="AJ98" s="295"/>
      <c r="AK98" s="295"/>
      <c r="AL98" s="295"/>
      <c r="AM98" s="294"/>
      <c r="AN98" s="294"/>
      <c r="AO98" s="294"/>
      <c r="AP98" s="294"/>
      <c r="AQ98" s="294"/>
      <c r="AR98" s="294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</row>
    <row r="99" spans="1:61" x14ac:dyDescent="0.2">
      <c r="A99" s="73"/>
      <c r="B99" s="73"/>
      <c r="C99" s="73"/>
      <c r="D99" s="74"/>
      <c r="E99" s="74"/>
      <c r="F99" s="73"/>
      <c r="G99" s="73"/>
      <c r="H99" s="73"/>
      <c r="I99" s="73"/>
      <c r="J99" s="295"/>
      <c r="K99" s="295"/>
      <c r="L99" s="295"/>
      <c r="M99" s="295"/>
      <c r="N99" s="295"/>
      <c r="O99" s="295"/>
      <c r="P99" s="295"/>
      <c r="Q99" s="295"/>
      <c r="R99" s="295"/>
      <c r="S99" s="295"/>
      <c r="T99" s="295"/>
      <c r="U99" s="295"/>
      <c r="V99" s="295"/>
      <c r="W99" s="295"/>
      <c r="X99" s="295"/>
      <c r="Y99" s="295"/>
      <c r="Z99" s="295"/>
      <c r="AA99" s="295"/>
      <c r="AB99" s="295"/>
      <c r="AC99" s="295"/>
      <c r="AD99" s="295"/>
      <c r="AE99" s="295"/>
      <c r="AF99" s="295"/>
      <c r="AG99" s="295"/>
      <c r="AH99" s="295"/>
      <c r="AI99" s="295"/>
      <c r="AJ99" s="295"/>
      <c r="AK99" s="295"/>
      <c r="AL99" s="295"/>
      <c r="AM99" s="294"/>
      <c r="AN99" s="294"/>
      <c r="AO99" s="294"/>
      <c r="AP99" s="294"/>
      <c r="AQ99" s="294"/>
      <c r="AR99" s="294"/>
      <c r="AS99" s="71"/>
      <c r="AT99" s="71"/>
      <c r="AU99" s="71"/>
      <c r="AV99" s="71"/>
      <c r="AW99" s="71"/>
      <c r="AX99" s="71"/>
      <c r="AY99" s="71"/>
      <c r="AZ99" s="71"/>
      <c r="BA99" s="71"/>
      <c r="BB99" s="71"/>
      <c r="BC99" s="71"/>
      <c r="BD99" s="71"/>
      <c r="BE99" s="71"/>
      <c r="BF99" s="71"/>
      <c r="BG99" s="71"/>
      <c r="BH99" s="71"/>
      <c r="BI99" s="71"/>
    </row>
    <row r="100" spans="1:61" x14ac:dyDescent="0.2">
      <c r="A100" s="73"/>
      <c r="B100" s="73"/>
      <c r="C100" s="73"/>
      <c r="D100" s="74"/>
      <c r="E100" s="74"/>
      <c r="F100" s="73"/>
      <c r="G100" s="73"/>
      <c r="H100" s="73"/>
      <c r="I100" s="73"/>
      <c r="J100" s="295"/>
      <c r="K100" s="295"/>
      <c r="L100" s="295"/>
      <c r="M100" s="295"/>
      <c r="N100" s="295"/>
      <c r="O100" s="295"/>
      <c r="P100" s="295"/>
      <c r="Q100" s="295"/>
      <c r="R100" s="295"/>
      <c r="S100" s="295"/>
      <c r="T100" s="295"/>
      <c r="U100" s="295"/>
      <c r="V100" s="295"/>
      <c r="W100" s="295"/>
      <c r="X100" s="295"/>
      <c r="Y100" s="295"/>
      <c r="Z100" s="295"/>
      <c r="AA100" s="295"/>
      <c r="AB100" s="295"/>
      <c r="AC100" s="295"/>
      <c r="AD100" s="295"/>
      <c r="AE100" s="295"/>
      <c r="AF100" s="295"/>
      <c r="AG100" s="295"/>
      <c r="AH100" s="295"/>
      <c r="AI100" s="295"/>
      <c r="AJ100" s="295"/>
      <c r="AK100" s="295"/>
      <c r="AL100" s="295"/>
      <c r="AM100" s="294"/>
      <c r="AN100" s="294"/>
      <c r="AO100" s="294"/>
      <c r="AP100" s="294"/>
      <c r="AQ100" s="294"/>
      <c r="AR100" s="294"/>
      <c r="AS100" s="71"/>
      <c r="AT100" s="71"/>
      <c r="AU100" s="71"/>
      <c r="AV100" s="71"/>
      <c r="AW100" s="71"/>
      <c r="AX100" s="71"/>
      <c r="AY100" s="71"/>
      <c r="AZ100" s="71"/>
      <c r="BA100" s="71"/>
      <c r="BB100" s="71"/>
      <c r="BC100" s="71"/>
      <c r="BD100" s="71"/>
      <c r="BE100" s="71"/>
      <c r="BF100" s="71"/>
      <c r="BG100" s="71"/>
      <c r="BH100" s="71"/>
      <c r="BI100" s="71"/>
    </row>
    <row r="101" spans="1:61" x14ac:dyDescent="0.2">
      <c r="A101" s="73"/>
      <c r="B101" s="73"/>
      <c r="C101" s="73"/>
      <c r="D101" s="74"/>
      <c r="E101" s="74"/>
      <c r="F101" s="73"/>
      <c r="G101" s="73"/>
      <c r="H101" s="73"/>
      <c r="I101" s="73"/>
      <c r="J101" s="295"/>
      <c r="K101" s="295"/>
      <c r="L101" s="295"/>
      <c r="M101" s="295"/>
      <c r="N101" s="295"/>
      <c r="O101" s="295"/>
      <c r="P101" s="295"/>
      <c r="Q101" s="295"/>
      <c r="R101" s="295"/>
      <c r="S101" s="295"/>
      <c r="T101" s="295"/>
      <c r="U101" s="295"/>
      <c r="V101" s="295"/>
      <c r="W101" s="295"/>
      <c r="X101" s="295"/>
      <c r="Y101" s="295"/>
      <c r="Z101" s="295"/>
      <c r="AA101" s="295"/>
      <c r="AB101" s="295"/>
      <c r="AC101" s="295"/>
      <c r="AD101" s="295"/>
      <c r="AE101" s="295"/>
      <c r="AF101" s="295"/>
      <c r="AG101" s="295"/>
      <c r="AH101" s="295"/>
      <c r="AI101" s="295"/>
      <c r="AJ101" s="295"/>
      <c r="AK101" s="295"/>
      <c r="AL101" s="295"/>
      <c r="AM101" s="294"/>
      <c r="AN101" s="294"/>
      <c r="AO101" s="294"/>
      <c r="AP101" s="294"/>
      <c r="AQ101" s="294"/>
      <c r="AR101" s="294"/>
      <c r="AS101" s="71"/>
      <c r="AT101" s="71"/>
      <c r="AU101" s="71"/>
      <c r="AV101" s="71"/>
      <c r="AW101" s="71"/>
      <c r="AX101" s="71"/>
      <c r="AY101" s="71"/>
      <c r="AZ101" s="71"/>
      <c r="BA101" s="71"/>
      <c r="BB101" s="71"/>
      <c r="BC101" s="71"/>
      <c r="BD101" s="71"/>
      <c r="BE101" s="71"/>
      <c r="BF101" s="71"/>
      <c r="BG101" s="71"/>
      <c r="BH101" s="71"/>
      <c r="BI101" s="71"/>
    </row>
    <row r="102" spans="1:61" x14ac:dyDescent="0.2">
      <c r="A102" s="73"/>
      <c r="B102" s="73"/>
      <c r="C102" s="73"/>
      <c r="D102" s="74"/>
      <c r="E102" s="74"/>
      <c r="F102" s="73"/>
      <c r="G102" s="73"/>
      <c r="H102" s="73"/>
      <c r="I102" s="73"/>
      <c r="J102" s="295"/>
      <c r="K102" s="295"/>
      <c r="L102" s="295"/>
      <c r="M102" s="295"/>
      <c r="N102" s="295"/>
      <c r="O102" s="295"/>
      <c r="P102" s="295"/>
      <c r="Q102" s="295"/>
      <c r="R102" s="295"/>
      <c r="S102" s="295"/>
      <c r="T102" s="295"/>
      <c r="U102" s="295"/>
      <c r="V102" s="295"/>
      <c r="W102" s="295"/>
      <c r="X102" s="295"/>
      <c r="Y102" s="295"/>
      <c r="Z102" s="295"/>
      <c r="AA102" s="295"/>
      <c r="AB102" s="295"/>
      <c r="AC102" s="295"/>
      <c r="AD102" s="295"/>
      <c r="AE102" s="295"/>
      <c r="AF102" s="295"/>
      <c r="AG102" s="295"/>
      <c r="AH102" s="295"/>
      <c r="AI102" s="295"/>
      <c r="AJ102" s="295"/>
      <c r="AK102" s="295"/>
      <c r="AL102" s="295"/>
      <c r="AM102" s="294"/>
      <c r="AN102" s="294"/>
      <c r="AO102" s="294"/>
      <c r="AP102" s="294"/>
      <c r="AQ102" s="294"/>
      <c r="AR102" s="294"/>
      <c r="AS102" s="71"/>
      <c r="AT102" s="71"/>
      <c r="AU102" s="71"/>
      <c r="AV102" s="71"/>
      <c r="AW102" s="71"/>
      <c r="AX102" s="71"/>
      <c r="AY102" s="71"/>
      <c r="AZ102" s="71"/>
      <c r="BA102" s="71"/>
      <c r="BB102" s="71"/>
      <c r="BC102" s="71"/>
      <c r="BD102" s="71"/>
      <c r="BE102" s="71"/>
      <c r="BF102" s="71"/>
      <c r="BG102" s="71"/>
      <c r="BH102" s="71"/>
      <c r="BI102" s="71"/>
    </row>
    <row r="103" spans="1:61" x14ac:dyDescent="0.2">
      <c r="A103" s="73"/>
      <c r="B103" s="73"/>
      <c r="C103" s="73"/>
      <c r="D103" s="74"/>
      <c r="E103" s="74"/>
      <c r="F103" s="73"/>
      <c r="G103" s="73"/>
      <c r="H103" s="73"/>
      <c r="I103" s="73"/>
      <c r="J103" s="295"/>
      <c r="K103" s="295"/>
      <c r="L103" s="295"/>
      <c r="M103" s="295"/>
      <c r="N103" s="295"/>
      <c r="O103" s="295"/>
      <c r="P103" s="295"/>
      <c r="Q103" s="295"/>
      <c r="R103" s="295"/>
      <c r="S103" s="295"/>
      <c r="T103" s="295"/>
      <c r="U103" s="295"/>
      <c r="V103" s="295"/>
      <c r="W103" s="295"/>
      <c r="X103" s="295"/>
      <c r="Y103" s="295"/>
      <c r="Z103" s="295"/>
      <c r="AA103" s="295"/>
      <c r="AB103" s="295"/>
      <c r="AC103" s="295"/>
      <c r="AD103" s="295"/>
      <c r="AE103" s="295"/>
      <c r="AF103" s="295"/>
      <c r="AG103" s="295"/>
      <c r="AH103" s="295"/>
      <c r="AI103" s="295"/>
      <c r="AJ103" s="295"/>
      <c r="AK103" s="295"/>
      <c r="AL103" s="295"/>
      <c r="AM103" s="294"/>
      <c r="AN103" s="294"/>
      <c r="AO103" s="294"/>
      <c r="AP103" s="294"/>
      <c r="AQ103" s="294"/>
      <c r="AR103" s="294"/>
      <c r="AS103" s="71"/>
      <c r="AT103" s="71"/>
      <c r="AU103" s="71"/>
      <c r="AV103" s="71"/>
      <c r="AW103" s="71"/>
      <c r="AX103" s="71"/>
      <c r="AY103" s="71"/>
      <c r="AZ103" s="71"/>
      <c r="BA103" s="71"/>
      <c r="BB103" s="71"/>
      <c r="BC103" s="71"/>
      <c r="BD103" s="71"/>
      <c r="BE103" s="71"/>
      <c r="BF103" s="71"/>
      <c r="BG103" s="71"/>
      <c r="BH103" s="71"/>
      <c r="BI103" s="71"/>
    </row>
    <row r="104" spans="1:61" x14ac:dyDescent="0.2">
      <c r="A104" s="73"/>
      <c r="B104" s="73"/>
      <c r="C104" s="73"/>
      <c r="D104" s="74"/>
      <c r="E104" s="74"/>
      <c r="F104" s="73"/>
      <c r="G104" s="73"/>
      <c r="H104" s="73"/>
      <c r="I104" s="73"/>
      <c r="J104" s="295"/>
      <c r="K104" s="295"/>
      <c r="L104" s="295"/>
      <c r="M104" s="295"/>
      <c r="N104" s="295"/>
      <c r="O104" s="295"/>
      <c r="P104" s="295"/>
      <c r="Q104" s="295"/>
      <c r="R104" s="295"/>
      <c r="S104" s="295"/>
      <c r="T104" s="295"/>
      <c r="U104" s="295"/>
      <c r="V104" s="295"/>
      <c r="W104" s="295"/>
      <c r="X104" s="295"/>
      <c r="Y104" s="295"/>
      <c r="Z104" s="295"/>
      <c r="AA104" s="295"/>
      <c r="AB104" s="295"/>
      <c r="AC104" s="295"/>
      <c r="AD104" s="295"/>
      <c r="AE104" s="295"/>
      <c r="AF104" s="295"/>
      <c r="AG104" s="295"/>
      <c r="AH104" s="295"/>
      <c r="AI104" s="295"/>
      <c r="AJ104" s="295"/>
      <c r="AK104" s="295"/>
      <c r="AL104" s="295"/>
      <c r="AM104" s="294"/>
      <c r="AN104" s="294"/>
      <c r="AO104" s="294"/>
      <c r="AP104" s="294"/>
      <c r="AQ104" s="294"/>
      <c r="AR104" s="294"/>
      <c r="AS104" s="71"/>
      <c r="AT104" s="71"/>
      <c r="AU104" s="71"/>
      <c r="AV104" s="71"/>
      <c r="AW104" s="71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  <c r="BH104" s="71"/>
      <c r="BI104" s="71"/>
    </row>
    <row r="105" spans="1:61" x14ac:dyDescent="0.2">
      <c r="A105" s="73"/>
      <c r="B105" s="73"/>
      <c r="C105" s="73"/>
      <c r="D105" s="74"/>
      <c r="E105" s="74"/>
      <c r="F105" s="73"/>
      <c r="G105" s="73"/>
      <c r="H105" s="73"/>
      <c r="I105" s="73"/>
      <c r="J105" s="295"/>
      <c r="K105" s="295"/>
      <c r="L105" s="295"/>
      <c r="M105" s="295"/>
      <c r="N105" s="295"/>
      <c r="O105" s="295"/>
      <c r="P105" s="295"/>
      <c r="Q105" s="295"/>
      <c r="R105" s="295"/>
      <c r="S105" s="295"/>
      <c r="T105" s="295"/>
      <c r="U105" s="295"/>
      <c r="V105" s="295"/>
      <c r="W105" s="295"/>
      <c r="X105" s="295"/>
      <c r="Y105" s="295"/>
      <c r="Z105" s="295"/>
      <c r="AA105" s="295"/>
      <c r="AB105" s="295"/>
      <c r="AC105" s="295"/>
      <c r="AD105" s="295"/>
      <c r="AE105" s="295"/>
      <c r="AF105" s="295"/>
      <c r="AG105" s="295"/>
      <c r="AH105" s="295"/>
      <c r="AI105" s="295"/>
      <c r="AJ105" s="295"/>
      <c r="AK105" s="295"/>
      <c r="AL105" s="295"/>
      <c r="AM105" s="294"/>
      <c r="AN105" s="294"/>
      <c r="AO105" s="294"/>
      <c r="AP105" s="294"/>
      <c r="AQ105" s="294"/>
      <c r="AR105" s="294"/>
      <c r="AS105" s="71"/>
      <c r="AT105" s="71"/>
      <c r="AU105" s="71"/>
      <c r="AV105" s="71"/>
      <c r="AW105" s="71"/>
      <c r="AX105" s="71"/>
      <c r="AY105" s="71"/>
      <c r="AZ105" s="71"/>
      <c r="BA105" s="71"/>
      <c r="BB105" s="71"/>
      <c r="BC105" s="71"/>
      <c r="BD105" s="71"/>
      <c r="BE105" s="71"/>
      <c r="BF105" s="71"/>
      <c r="BG105" s="71"/>
      <c r="BH105" s="71"/>
      <c r="BI105" s="71"/>
    </row>
    <row r="106" spans="1:61" x14ac:dyDescent="0.2">
      <c r="A106" s="73"/>
      <c r="B106" s="73"/>
      <c r="C106" s="73"/>
      <c r="D106" s="74"/>
      <c r="E106" s="74"/>
      <c r="F106" s="73"/>
      <c r="G106" s="73"/>
      <c r="H106" s="73"/>
      <c r="I106" s="73"/>
      <c r="J106" s="295"/>
      <c r="K106" s="295"/>
      <c r="L106" s="295"/>
      <c r="M106" s="295"/>
      <c r="N106" s="295"/>
      <c r="O106" s="295"/>
      <c r="P106" s="295"/>
      <c r="Q106" s="295"/>
      <c r="R106" s="295"/>
      <c r="S106" s="295"/>
      <c r="T106" s="295"/>
      <c r="U106" s="295"/>
      <c r="V106" s="295"/>
      <c r="W106" s="295"/>
      <c r="X106" s="295"/>
      <c r="Y106" s="295"/>
      <c r="Z106" s="295"/>
      <c r="AA106" s="295"/>
      <c r="AB106" s="295"/>
      <c r="AC106" s="295"/>
      <c r="AD106" s="295"/>
      <c r="AE106" s="295"/>
      <c r="AF106" s="295"/>
      <c r="AG106" s="295"/>
      <c r="AH106" s="295"/>
      <c r="AI106" s="295"/>
      <c r="AJ106" s="295"/>
      <c r="AK106" s="295"/>
      <c r="AL106" s="295"/>
      <c r="AM106" s="294"/>
      <c r="AN106" s="294"/>
      <c r="AO106" s="294"/>
      <c r="AP106" s="294"/>
      <c r="AQ106" s="294"/>
      <c r="AR106" s="294"/>
      <c r="AS106" s="71"/>
      <c r="AT106" s="71"/>
      <c r="AU106" s="71"/>
      <c r="AV106" s="71"/>
      <c r="AW106" s="71"/>
      <c r="AX106" s="71"/>
      <c r="AY106" s="71"/>
      <c r="AZ106" s="71"/>
      <c r="BA106" s="71"/>
      <c r="BB106" s="71"/>
      <c r="BC106" s="71"/>
      <c r="BD106" s="71"/>
      <c r="BE106" s="71"/>
      <c r="BF106" s="71"/>
      <c r="BG106" s="71"/>
      <c r="BH106" s="71"/>
      <c r="BI106" s="71"/>
    </row>
    <row r="107" spans="1:61" x14ac:dyDescent="0.2">
      <c r="A107" s="73"/>
      <c r="B107" s="73"/>
      <c r="C107" s="73"/>
      <c r="D107" s="74"/>
      <c r="E107" s="74"/>
      <c r="F107" s="73"/>
      <c r="G107" s="73"/>
      <c r="H107" s="73"/>
      <c r="I107" s="73"/>
      <c r="J107" s="295"/>
      <c r="K107" s="295"/>
      <c r="L107" s="295"/>
      <c r="M107" s="295"/>
      <c r="N107" s="295"/>
      <c r="O107" s="295"/>
      <c r="P107" s="295"/>
      <c r="Q107" s="295"/>
      <c r="R107" s="295"/>
      <c r="S107" s="295"/>
      <c r="T107" s="295"/>
      <c r="U107" s="295"/>
      <c r="V107" s="295"/>
      <c r="W107" s="295"/>
      <c r="X107" s="295"/>
      <c r="Y107" s="295"/>
      <c r="Z107" s="295"/>
      <c r="AA107" s="295"/>
      <c r="AB107" s="295"/>
      <c r="AC107" s="295"/>
      <c r="AD107" s="295"/>
      <c r="AE107" s="295"/>
      <c r="AF107" s="295"/>
      <c r="AG107" s="295"/>
      <c r="AH107" s="295"/>
      <c r="AI107" s="295"/>
      <c r="AJ107" s="295"/>
      <c r="AK107" s="295"/>
      <c r="AL107" s="295"/>
      <c r="AM107" s="294"/>
      <c r="AN107" s="294"/>
      <c r="AO107" s="294"/>
      <c r="AP107" s="294"/>
      <c r="AQ107" s="294"/>
      <c r="AR107" s="294"/>
      <c r="AS107" s="71"/>
      <c r="AT107" s="71"/>
      <c r="AU107" s="71"/>
      <c r="AV107" s="71"/>
      <c r="AW107" s="71"/>
      <c r="AX107" s="71"/>
      <c r="AY107" s="71"/>
      <c r="AZ107" s="71"/>
      <c r="BA107" s="71"/>
      <c r="BB107" s="71"/>
      <c r="BC107" s="71"/>
      <c r="BD107" s="71"/>
      <c r="BE107" s="71"/>
      <c r="BF107" s="71"/>
      <c r="BG107" s="71"/>
      <c r="BH107" s="71"/>
      <c r="BI107" s="71"/>
    </row>
    <row r="108" spans="1:61" x14ac:dyDescent="0.2">
      <c r="A108" s="73"/>
      <c r="B108" s="73"/>
      <c r="C108" s="73"/>
      <c r="D108" s="74"/>
      <c r="E108" s="74"/>
      <c r="F108" s="73"/>
      <c r="G108" s="73"/>
      <c r="H108" s="73"/>
      <c r="I108" s="73"/>
      <c r="J108" s="295"/>
      <c r="K108" s="295"/>
      <c r="L108" s="295"/>
      <c r="M108" s="295"/>
      <c r="N108" s="295"/>
      <c r="O108" s="295"/>
      <c r="P108" s="295"/>
      <c r="Q108" s="295"/>
      <c r="R108" s="295"/>
      <c r="S108" s="295"/>
      <c r="T108" s="295"/>
      <c r="U108" s="295"/>
      <c r="V108" s="295"/>
      <c r="W108" s="295"/>
      <c r="X108" s="295"/>
      <c r="Y108" s="295"/>
      <c r="Z108" s="295"/>
      <c r="AA108" s="295"/>
      <c r="AB108" s="295"/>
      <c r="AC108" s="295"/>
      <c r="AD108" s="295"/>
      <c r="AE108" s="295"/>
      <c r="AF108" s="295"/>
      <c r="AG108" s="295"/>
      <c r="AH108" s="295"/>
      <c r="AI108" s="295"/>
      <c r="AJ108" s="295"/>
      <c r="AK108" s="295"/>
      <c r="AL108" s="295"/>
      <c r="AM108" s="294"/>
      <c r="AN108" s="294"/>
      <c r="AO108" s="294"/>
      <c r="AP108" s="294"/>
      <c r="AQ108" s="294"/>
      <c r="AR108" s="294"/>
      <c r="AS108" s="71"/>
      <c r="AT108" s="71"/>
      <c r="AU108" s="71"/>
      <c r="AV108" s="71"/>
      <c r="AW108" s="71"/>
      <c r="AX108" s="71"/>
      <c r="AY108" s="71"/>
      <c r="AZ108" s="71"/>
      <c r="BA108" s="71"/>
      <c r="BB108" s="71"/>
      <c r="BC108" s="71"/>
      <c r="BD108" s="71"/>
      <c r="BE108" s="71"/>
      <c r="BF108" s="71"/>
      <c r="BG108" s="71"/>
      <c r="BH108" s="71"/>
      <c r="BI108" s="71"/>
    </row>
    <row r="109" spans="1:61" x14ac:dyDescent="0.2">
      <c r="A109" s="73"/>
      <c r="B109" s="73"/>
      <c r="C109" s="73"/>
      <c r="D109" s="74"/>
      <c r="E109" s="74"/>
      <c r="F109" s="73"/>
      <c r="G109" s="73"/>
      <c r="H109" s="73"/>
      <c r="I109" s="73"/>
      <c r="J109" s="295"/>
      <c r="K109" s="295"/>
      <c r="L109" s="295"/>
      <c r="M109" s="295"/>
      <c r="N109" s="295"/>
      <c r="O109" s="295"/>
      <c r="P109" s="295"/>
      <c r="Q109" s="295"/>
      <c r="R109" s="295"/>
      <c r="S109" s="295"/>
      <c r="T109" s="295"/>
      <c r="U109" s="295"/>
      <c r="V109" s="295"/>
      <c r="W109" s="295"/>
      <c r="X109" s="295"/>
      <c r="Y109" s="295"/>
      <c r="Z109" s="295"/>
      <c r="AA109" s="295"/>
      <c r="AB109" s="295"/>
      <c r="AC109" s="295"/>
      <c r="AD109" s="295"/>
      <c r="AE109" s="295"/>
      <c r="AF109" s="295"/>
      <c r="AG109" s="295"/>
      <c r="AH109" s="295"/>
      <c r="AI109" s="295"/>
      <c r="AJ109" s="295"/>
      <c r="AK109" s="295"/>
      <c r="AL109" s="295"/>
      <c r="AM109" s="294"/>
      <c r="AN109" s="294"/>
      <c r="AO109" s="294"/>
      <c r="AP109" s="294"/>
      <c r="AQ109" s="294"/>
      <c r="AR109" s="294"/>
      <c r="AS109" s="71"/>
      <c r="AT109" s="71"/>
      <c r="AU109" s="71"/>
      <c r="AV109" s="71"/>
      <c r="AW109" s="71"/>
      <c r="AX109" s="71"/>
      <c r="AY109" s="71"/>
      <c r="AZ109" s="71"/>
      <c r="BA109" s="71"/>
      <c r="BB109" s="71"/>
      <c r="BC109" s="71"/>
      <c r="BD109" s="71"/>
      <c r="BE109" s="71"/>
      <c r="BF109" s="71"/>
      <c r="BG109" s="71"/>
      <c r="BH109" s="71"/>
      <c r="BI109" s="71"/>
    </row>
    <row r="110" spans="1:61" x14ac:dyDescent="0.2">
      <c r="A110" s="73"/>
      <c r="B110" s="73"/>
      <c r="C110" s="73"/>
      <c r="D110" s="74"/>
      <c r="E110" s="74"/>
      <c r="F110" s="73"/>
      <c r="G110" s="73"/>
      <c r="H110" s="73"/>
      <c r="I110" s="73"/>
      <c r="J110" s="295"/>
      <c r="K110" s="295"/>
      <c r="L110" s="295"/>
      <c r="M110" s="295"/>
      <c r="N110" s="295"/>
      <c r="O110" s="295"/>
      <c r="P110" s="295"/>
      <c r="Q110" s="295"/>
      <c r="R110" s="295"/>
      <c r="S110" s="295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  <c r="AF110" s="295"/>
      <c r="AG110" s="295"/>
      <c r="AH110" s="295"/>
      <c r="AI110" s="295"/>
      <c r="AJ110" s="295"/>
      <c r="AK110" s="295"/>
      <c r="AL110" s="295"/>
      <c r="AM110" s="294"/>
      <c r="AN110" s="294"/>
      <c r="AO110" s="294"/>
      <c r="AP110" s="294"/>
      <c r="AQ110" s="294"/>
      <c r="AR110" s="294"/>
      <c r="AS110" s="71"/>
      <c r="AT110" s="71"/>
      <c r="AU110" s="71"/>
      <c r="AV110" s="71"/>
      <c r="AW110" s="71"/>
      <c r="AX110" s="71"/>
      <c r="AY110" s="71"/>
      <c r="AZ110" s="71"/>
      <c r="BA110" s="71"/>
      <c r="BB110" s="71"/>
      <c r="BC110" s="71"/>
      <c r="BD110" s="71"/>
      <c r="BE110" s="71"/>
      <c r="BF110" s="71"/>
      <c r="BG110" s="71"/>
      <c r="BH110" s="71"/>
      <c r="BI110" s="71"/>
    </row>
    <row r="111" spans="1:61" x14ac:dyDescent="0.2">
      <c r="A111" s="73"/>
      <c r="B111" s="73"/>
      <c r="C111" s="73"/>
      <c r="D111" s="74"/>
      <c r="E111" s="74"/>
      <c r="F111" s="73"/>
      <c r="G111" s="73"/>
      <c r="H111" s="73"/>
      <c r="I111" s="73"/>
      <c r="J111" s="295"/>
      <c r="K111" s="295"/>
      <c r="L111" s="295"/>
      <c r="M111" s="295"/>
      <c r="N111" s="295"/>
      <c r="O111" s="295"/>
      <c r="P111" s="295"/>
      <c r="Q111" s="295"/>
      <c r="R111" s="295"/>
      <c r="S111" s="295"/>
      <c r="T111" s="295"/>
      <c r="U111" s="295"/>
      <c r="V111" s="295"/>
      <c r="W111" s="295"/>
      <c r="X111" s="295"/>
      <c r="Y111" s="295"/>
      <c r="Z111" s="295"/>
      <c r="AA111" s="295"/>
      <c r="AB111" s="295"/>
      <c r="AC111" s="295"/>
      <c r="AD111" s="295"/>
      <c r="AE111" s="295"/>
      <c r="AF111" s="295"/>
      <c r="AG111" s="295"/>
      <c r="AH111" s="295"/>
      <c r="AI111" s="295"/>
      <c r="AJ111" s="295"/>
      <c r="AK111" s="295"/>
      <c r="AL111" s="295"/>
      <c r="AM111" s="294"/>
      <c r="AN111" s="294"/>
      <c r="AO111" s="294"/>
      <c r="AP111" s="294"/>
      <c r="AQ111" s="294"/>
      <c r="AR111" s="294"/>
      <c r="AS111" s="71"/>
      <c r="AT111" s="71"/>
      <c r="AU111" s="71"/>
      <c r="AV111" s="71"/>
      <c r="AW111" s="71"/>
      <c r="AX111" s="71"/>
      <c r="AY111" s="71"/>
      <c r="AZ111" s="71"/>
      <c r="BA111" s="71"/>
      <c r="BB111" s="71"/>
      <c r="BC111" s="71"/>
      <c r="BD111" s="71"/>
      <c r="BE111" s="71"/>
      <c r="BF111" s="71"/>
      <c r="BG111" s="71"/>
      <c r="BH111" s="71"/>
      <c r="BI111" s="71"/>
    </row>
    <row r="112" spans="1:61" x14ac:dyDescent="0.2">
      <c r="A112" s="73"/>
      <c r="B112" s="73"/>
      <c r="C112" s="73"/>
      <c r="D112" s="74"/>
      <c r="E112" s="74"/>
      <c r="F112" s="73"/>
      <c r="G112" s="73"/>
      <c r="H112" s="73"/>
      <c r="I112" s="73"/>
      <c r="J112" s="295"/>
      <c r="K112" s="295"/>
      <c r="L112" s="295"/>
      <c r="M112" s="295"/>
      <c r="N112" s="295"/>
      <c r="O112" s="295"/>
      <c r="P112" s="295"/>
      <c r="Q112" s="295"/>
      <c r="R112" s="295"/>
      <c r="S112" s="295"/>
      <c r="T112" s="295"/>
      <c r="U112" s="295"/>
      <c r="V112" s="295"/>
      <c r="W112" s="295"/>
      <c r="X112" s="295"/>
      <c r="Y112" s="295"/>
      <c r="Z112" s="295"/>
      <c r="AA112" s="295"/>
      <c r="AB112" s="295"/>
      <c r="AC112" s="295"/>
      <c r="AD112" s="295"/>
      <c r="AE112" s="295"/>
      <c r="AF112" s="295"/>
      <c r="AG112" s="295"/>
      <c r="AH112" s="295"/>
      <c r="AI112" s="295"/>
      <c r="AJ112" s="295"/>
      <c r="AK112" s="295"/>
      <c r="AL112" s="295"/>
      <c r="AM112" s="294"/>
      <c r="AN112" s="294"/>
      <c r="AO112" s="294"/>
      <c r="AP112" s="294"/>
      <c r="AQ112" s="294"/>
      <c r="AR112" s="294"/>
      <c r="AS112" s="71"/>
      <c r="AT112" s="71"/>
      <c r="AU112" s="71"/>
      <c r="AV112" s="71"/>
      <c r="AW112" s="71"/>
      <c r="AX112" s="71"/>
      <c r="AY112" s="71"/>
      <c r="AZ112" s="71"/>
      <c r="BA112" s="71"/>
      <c r="BB112" s="71"/>
      <c r="BC112" s="71"/>
      <c r="BD112" s="71"/>
      <c r="BE112" s="71"/>
      <c r="BF112" s="71"/>
      <c r="BG112" s="71"/>
      <c r="BH112" s="71"/>
      <c r="BI112" s="71"/>
    </row>
    <row r="113" spans="1:61" x14ac:dyDescent="0.2">
      <c r="A113" s="73"/>
      <c r="B113" s="73"/>
      <c r="C113" s="73"/>
      <c r="D113" s="74"/>
      <c r="E113" s="74"/>
      <c r="F113" s="73"/>
      <c r="G113" s="73"/>
      <c r="H113" s="73"/>
      <c r="I113" s="73"/>
      <c r="J113" s="295"/>
      <c r="K113" s="295"/>
      <c r="L113" s="295"/>
      <c r="M113" s="295"/>
      <c r="N113" s="295"/>
      <c r="O113" s="295"/>
      <c r="P113" s="295"/>
      <c r="Q113" s="295"/>
      <c r="R113" s="295"/>
      <c r="S113" s="295"/>
      <c r="T113" s="295"/>
      <c r="U113" s="295"/>
      <c r="V113" s="295"/>
      <c r="W113" s="295"/>
      <c r="X113" s="295"/>
      <c r="Y113" s="295"/>
      <c r="Z113" s="295"/>
      <c r="AA113" s="295"/>
      <c r="AB113" s="295"/>
      <c r="AC113" s="295"/>
      <c r="AD113" s="295"/>
      <c r="AE113" s="295"/>
      <c r="AF113" s="295"/>
      <c r="AG113" s="295"/>
      <c r="AH113" s="295"/>
      <c r="AI113" s="295"/>
      <c r="AJ113" s="295"/>
      <c r="AK113" s="295"/>
      <c r="AL113" s="295"/>
      <c r="AM113" s="294"/>
      <c r="AN113" s="294"/>
      <c r="AO113" s="294"/>
      <c r="AP113" s="294"/>
      <c r="AQ113" s="294"/>
      <c r="AR113" s="294"/>
      <c r="AS113" s="71"/>
      <c r="AT113" s="71"/>
      <c r="AU113" s="71"/>
      <c r="AV113" s="71"/>
      <c r="AW113" s="71"/>
      <c r="AX113" s="71"/>
      <c r="AY113" s="71"/>
      <c r="AZ113" s="71"/>
      <c r="BA113" s="71"/>
      <c r="BB113" s="71"/>
      <c r="BC113" s="71"/>
      <c r="BD113" s="71"/>
      <c r="BE113" s="71"/>
      <c r="BF113" s="71"/>
      <c r="BG113" s="71"/>
      <c r="BH113" s="71"/>
      <c r="BI113" s="71"/>
    </row>
    <row r="114" spans="1:61" x14ac:dyDescent="0.2">
      <c r="A114" s="73"/>
      <c r="B114" s="73"/>
      <c r="C114" s="73"/>
      <c r="D114" s="74"/>
      <c r="E114" s="74"/>
      <c r="F114" s="73"/>
      <c r="G114" s="73"/>
      <c r="H114" s="73"/>
      <c r="I114" s="73"/>
      <c r="J114" s="295"/>
      <c r="K114" s="295"/>
      <c r="L114" s="295"/>
      <c r="M114" s="295"/>
      <c r="N114" s="295"/>
      <c r="O114" s="295"/>
      <c r="P114" s="295"/>
      <c r="Q114" s="295"/>
      <c r="R114" s="295"/>
      <c r="S114" s="295"/>
      <c r="T114" s="295"/>
      <c r="U114" s="295"/>
      <c r="V114" s="295"/>
      <c r="W114" s="295"/>
      <c r="X114" s="295"/>
      <c r="Y114" s="295"/>
      <c r="Z114" s="295"/>
      <c r="AA114" s="295"/>
      <c r="AB114" s="295"/>
      <c r="AC114" s="295"/>
      <c r="AD114" s="295"/>
      <c r="AE114" s="295"/>
      <c r="AF114" s="295"/>
      <c r="AG114" s="295"/>
      <c r="AH114" s="295"/>
      <c r="AI114" s="295"/>
      <c r="AJ114" s="295"/>
      <c r="AK114" s="295"/>
      <c r="AL114" s="295"/>
      <c r="AM114" s="294"/>
      <c r="AN114" s="294"/>
      <c r="AO114" s="294"/>
      <c r="AP114" s="294"/>
      <c r="AQ114" s="294"/>
      <c r="AR114" s="294"/>
      <c r="AS114" s="71"/>
      <c r="AT114" s="71"/>
      <c r="AU114" s="71"/>
      <c r="AV114" s="71"/>
      <c r="AW114" s="71"/>
      <c r="AX114" s="71"/>
      <c r="AY114" s="71"/>
      <c r="AZ114" s="71"/>
      <c r="BA114" s="71"/>
      <c r="BB114" s="71"/>
      <c r="BC114" s="71"/>
      <c r="BD114" s="71"/>
      <c r="BE114" s="71"/>
      <c r="BF114" s="71"/>
      <c r="BG114" s="71"/>
      <c r="BH114" s="71"/>
      <c r="BI114" s="71"/>
    </row>
    <row r="115" spans="1:61" x14ac:dyDescent="0.2">
      <c r="A115" s="73"/>
      <c r="B115" s="73"/>
      <c r="C115" s="73"/>
      <c r="D115" s="71"/>
      <c r="E115" s="73"/>
      <c r="F115" s="73"/>
      <c r="G115" s="73"/>
      <c r="H115" s="73"/>
      <c r="I115" s="73"/>
      <c r="J115" s="295"/>
      <c r="K115" s="295"/>
      <c r="L115" s="295"/>
      <c r="M115" s="295"/>
      <c r="N115" s="295"/>
      <c r="O115" s="295"/>
      <c r="P115" s="295"/>
      <c r="Q115" s="295"/>
      <c r="R115" s="295"/>
      <c r="S115" s="295"/>
      <c r="T115" s="295"/>
      <c r="U115" s="295"/>
      <c r="V115" s="295"/>
      <c r="W115" s="295"/>
      <c r="X115" s="295"/>
      <c r="Y115" s="295"/>
      <c r="Z115" s="295"/>
      <c r="AA115" s="295"/>
      <c r="AB115" s="295"/>
      <c r="AC115" s="295"/>
      <c r="AD115" s="295"/>
      <c r="AE115" s="295"/>
      <c r="AF115" s="295"/>
      <c r="AG115" s="295"/>
      <c r="AH115" s="295"/>
      <c r="AI115" s="295"/>
      <c r="AJ115" s="295"/>
      <c r="AK115" s="295"/>
      <c r="AL115" s="294"/>
      <c r="AM115" s="294"/>
      <c r="AN115" s="294"/>
      <c r="AO115" s="294"/>
      <c r="AP115" s="294"/>
      <c r="AQ115" s="294"/>
      <c r="AR115" s="294"/>
      <c r="AS115" s="71"/>
      <c r="AT115" s="71"/>
      <c r="AU115" s="71"/>
      <c r="AV115" s="71"/>
      <c r="AW115" s="71"/>
      <c r="AX115" s="71"/>
      <c r="AY115" s="71"/>
      <c r="AZ115" s="71"/>
      <c r="BA115" s="71"/>
      <c r="BB115" s="71"/>
      <c r="BC115" s="71"/>
      <c r="BD115" s="71"/>
      <c r="BE115" s="71"/>
      <c r="BF115" s="71"/>
      <c r="BG115" s="71"/>
      <c r="BH115" s="71"/>
      <c r="BI115" s="71"/>
    </row>
    <row r="116" spans="1:61" x14ac:dyDescent="0.2">
      <c r="A116" s="73"/>
      <c r="B116" s="73"/>
      <c r="C116" s="73"/>
      <c r="D116" s="71"/>
      <c r="E116" s="73"/>
      <c r="F116" s="73"/>
      <c r="G116" s="73"/>
      <c r="H116" s="73"/>
      <c r="I116" s="73"/>
      <c r="J116" s="295"/>
      <c r="K116" s="295"/>
      <c r="L116" s="295"/>
      <c r="M116" s="295"/>
      <c r="N116" s="295"/>
      <c r="O116" s="295"/>
      <c r="P116" s="295"/>
      <c r="Q116" s="295"/>
      <c r="R116" s="295"/>
      <c r="S116" s="295"/>
      <c r="T116" s="295"/>
      <c r="U116" s="295"/>
      <c r="V116" s="295"/>
      <c r="W116" s="295"/>
      <c r="X116" s="295"/>
      <c r="Y116" s="295"/>
      <c r="Z116" s="295"/>
      <c r="AA116" s="295"/>
      <c r="AB116" s="295"/>
      <c r="AC116" s="295"/>
      <c r="AD116" s="295"/>
      <c r="AE116" s="295"/>
      <c r="AF116" s="295"/>
      <c r="AG116" s="295"/>
      <c r="AH116" s="295"/>
      <c r="AI116" s="295"/>
      <c r="AJ116" s="295"/>
      <c r="AK116" s="295"/>
      <c r="AL116" s="294"/>
      <c r="AM116" s="294"/>
      <c r="AN116" s="294"/>
      <c r="AO116" s="294"/>
      <c r="AP116" s="294"/>
      <c r="AQ116" s="294"/>
      <c r="AR116" s="294"/>
      <c r="AS116" s="71"/>
      <c r="AT116" s="71"/>
      <c r="AU116" s="71"/>
      <c r="AV116" s="71"/>
      <c r="AW116" s="71"/>
      <c r="AX116" s="71"/>
      <c r="AY116" s="71"/>
      <c r="AZ116" s="71"/>
      <c r="BA116" s="71"/>
      <c r="BB116" s="71"/>
      <c r="BC116" s="71"/>
      <c r="BD116" s="71"/>
      <c r="BE116" s="71"/>
      <c r="BF116" s="71"/>
      <c r="BG116" s="71"/>
      <c r="BH116" s="71"/>
      <c r="BI116" s="71"/>
    </row>
    <row r="117" spans="1:61" x14ac:dyDescent="0.2">
      <c r="A117" s="73"/>
      <c r="B117" s="73"/>
      <c r="C117" s="73"/>
      <c r="D117" s="71"/>
      <c r="E117" s="73"/>
      <c r="F117" s="73"/>
      <c r="G117" s="73"/>
      <c r="H117" s="73"/>
      <c r="I117" s="73"/>
      <c r="J117" s="295"/>
      <c r="K117" s="295"/>
      <c r="L117" s="295"/>
      <c r="M117" s="295"/>
      <c r="N117" s="295"/>
      <c r="O117" s="295"/>
      <c r="P117" s="295"/>
      <c r="Q117" s="295"/>
      <c r="R117" s="295"/>
      <c r="S117" s="295"/>
      <c r="T117" s="295"/>
      <c r="U117" s="295"/>
      <c r="V117" s="295"/>
      <c r="W117" s="295"/>
      <c r="X117" s="295"/>
      <c r="Y117" s="295"/>
      <c r="Z117" s="295"/>
      <c r="AA117" s="295"/>
      <c r="AB117" s="295"/>
      <c r="AC117" s="295"/>
      <c r="AD117" s="295"/>
      <c r="AE117" s="295"/>
      <c r="AF117" s="295"/>
      <c r="AG117" s="295"/>
      <c r="AH117" s="295"/>
      <c r="AI117" s="295"/>
      <c r="AJ117" s="295"/>
      <c r="AK117" s="295"/>
      <c r="AL117" s="294"/>
      <c r="AM117" s="294"/>
      <c r="AN117" s="294"/>
      <c r="AO117" s="294"/>
      <c r="AP117" s="294"/>
      <c r="AQ117" s="294"/>
      <c r="AR117" s="294"/>
      <c r="AS117" s="71"/>
      <c r="AT117" s="71"/>
      <c r="AU117" s="71"/>
      <c r="AV117" s="71"/>
      <c r="AW117" s="71"/>
      <c r="AX117" s="71"/>
      <c r="AY117" s="71"/>
      <c r="AZ117" s="71"/>
      <c r="BA117" s="71"/>
      <c r="BB117" s="71"/>
      <c r="BC117" s="71"/>
      <c r="BD117" s="71"/>
      <c r="BE117" s="71"/>
      <c r="BF117" s="71"/>
      <c r="BG117" s="71"/>
      <c r="BH117" s="71"/>
      <c r="BI117" s="71"/>
    </row>
    <row r="118" spans="1:61" x14ac:dyDescent="0.2">
      <c r="A118" s="73"/>
      <c r="B118" s="73"/>
      <c r="C118" s="73"/>
      <c r="D118" s="71"/>
      <c r="E118" s="73"/>
      <c r="F118" s="73"/>
      <c r="G118" s="73"/>
      <c r="H118" s="73"/>
      <c r="I118" s="73"/>
      <c r="J118" s="295"/>
      <c r="K118" s="295"/>
      <c r="L118" s="295"/>
      <c r="M118" s="295"/>
      <c r="N118" s="295"/>
      <c r="O118" s="295"/>
      <c r="P118" s="295"/>
      <c r="Q118" s="295"/>
      <c r="R118" s="295"/>
      <c r="S118" s="295"/>
      <c r="T118" s="295"/>
      <c r="U118" s="295"/>
      <c r="V118" s="295"/>
      <c r="W118" s="295"/>
      <c r="X118" s="295"/>
      <c r="Y118" s="295"/>
      <c r="Z118" s="295"/>
      <c r="AA118" s="295"/>
      <c r="AB118" s="295"/>
      <c r="AC118" s="295"/>
      <c r="AD118" s="295"/>
      <c r="AE118" s="295"/>
      <c r="AF118" s="295"/>
      <c r="AG118" s="295"/>
      <c r="AH118" s="295"/>
      <c r="AI118" s="295"/>
      <c r="AJ118" s="295"/>
      <c r="AK118" s="295"/>
      <c r="AL118" s="294"/>
      <c r="AM118" s="294"/>
      <c r="AN118" s="294"/>
      <c r="AO118" s="294"/>
      <c r="AP118" s="294"/>
      <c r="AQ118" s="294"/>
      <c r="AR118" s="294"/>
      <c r="AS118" s="71"/>
      <c r="AT118" s="71"/>
      <c r="AU118" s="71"/>
      <c r="AV118" s="71"/>
      <c r="AW118" s="71"/>
      <c r="AX118" s="71"/>
      <c r="AY118" s="71"/>
      <c r="AZ118" s="71"/>
      <c r="BA118" s="71"/>
      <c r="BB118" s="71"/>
      <c r="BC118" s="71"/>
      <c r="BD118" s="71"/>
      <c r="BE118" s="71"/>
      <c r="BF118" s="71"/>
      <c r="BG118" s="71"/>
      <c r="BH118" s="71"/>
      <c r="BI118" s="71"/>
    </row>
    <row r="119" spans="1:61" x14ac:dyDescent="0.2">
      <c r="A119" s="73"/>
      <c r="B119" s="73"/>
      <c r="C119" s="73"/>
      <c r="D119" s="71"/>
      <c r="E119" s="73"/>
      <c r="F119" s="73"/>
      <c r="G119" s="73"/>
      <c r="H119" s="73"/>
      <c r="I119" s="73"/>
      <c r="J119" s="295"/>
      <c r="K119" s="295"/>
      <c r="L119" s="295"/>
      <c r="M119" s="295"/>
      <c r="N119" s="295"/>
      <c r="O119" s="295"/>
      <c r="P119" s="295"/>
      <c r="Q119" s="295"/>
      <c r="R119" s="295"/>
      <c r="S119" s="295"/>
      <c r="T119" s="295"/>
      <c r="U119" s="295"/>
      <c r="V119" s="295"/>
      <c r="W119" s="295"/>
      <c r="X119" s="295"/>
      <c r="Y119" s="295"/>
      <c r="Z119" s="295"/>
      <c r="AA119" s="295"/>
      <c r="AB119" s="295"/>
      <c r="AC119" s="295"/>
      <c r="AD119" s="295"/>
      <c r="AE119" s="295"/>
      <c r="AF119" s="295"/>
      <c r="AG119" s="295"/>
      <c r="AH119" s="295"/>
      <c r="AI119" s="295"/>
      <c r="AJ119" s="295"/>
      <c r="AK119" s="295"/>
      <c r="AL119" s="294"/>
      <c r="AM119" s="294"/>
      <c r="AN119" s="294"/>
      <c r="AO119" s="294"/>
      <c r="AP119" s="294"/>
      <c r="AQ119" s="294"/>
      <c r="AR119" s="294"/>
      <c r="AS119" s="71"/>
      <c r="AT119" s="71"/>
      <c r="AU119" s="71"/>
      <c r="AV119" s="71"/>
      <c r="AW119" s="71"/>
      <c r="AX119" s="71"/>
      <c r="AY119" s="71"/>
      <c r="AZ119" s="71"/>
      <c r="BA119" s="71"/>
      <c r="BB119" s="71"/>
      <c r="BC119" s="71"/>
      <c r="BD119" s="71"/>
      <c r="BE119" s="71"/>
      <c r="BF119" s="71"/>
      <c r="BG119" s="71"/>
      <c r="BH119" s="71"/>
      <c r="BI119" s="71"/>
    </row>
    <row r="120" spans="1:61" x14ac:dyDescent="0.2">
      <c r="A120" s="73"/>
      <c r="B120" s="73"/>
      <c r="C120" s="73"/>
      <c r="D120" s="71"/>
      <c r="E120" s="73"/>
      <c r="F120" s="73"/>
      <c r="G120" s="73"/>
      <c r="H120" s="73"/>
      <c r="I120" s="73"/>
      <c r="J120" s="295"/>
      <c r="K120" s="295"/>
      <c r="L120" s="295"/>
      <c r="M120" s="295"/>
      <c r="N120" s="295"/>
      <c r="O120" s="295"/>
      <c r="P120" s="295"/>
      <c r="Q120" s="295"/>
      <c r="R120" s="295"/>
      <c r="S120" s="295"/>
      <c r="T120" s="295"/>
      <c r="U120" s="295"/>
      <c r="V120" s="295"/>
      <c r="W120" s="295"/>
      <c r="X120" s="295"/>
      <c r="Y120" s="295"/>
      <c r="Z120" s="295"/>
      <c r="AA120" s="295"/>
      <c r="AB120" s="295"/>
      <c r="AC120" s="295"/>
      <c r="AD120" s="295"/>
      <c r="AE120" s="295"/>
      <c r="AF120" s="295"/>
      <c r="AG120" s="295"/>
      <c r="AH120" s="295"/>
      <c r="AI120" s="295"/>
      <c r="AJ120" s="295"/>
      <c r="AK120" s="295"/>
      <c r="AL120" s="294"/>
      <c r="AM120" s="294"/>
      <c r="AN120" s="294"/>
      <c r="AO120" s="294"/>
      <c r="AP120" s="294"/>
      <c r="AQ120" s="294"/>
      <c r="AR120" s="294"/>
      <c r="AS120" s="71"/>
      <c r="AT120" s="71"/>
      <c r="AU120" s="71"/>
      <c r="AV120" s="71"/>
      <c r="AW120" s="71"/>
      <c r="AX120" s="71"/>
      <c r="AY120" s="71"/>
      <c r="AZ120" s="71"/>
      <c r="BA120" s="71"/>
      <c r="BB120" s="71"/>
      <c r="BC120" s="71"/>
      <c r="BD120" s="71"/>
      <c r="BE120" s="71"/>
      <c r="BF120" s="71"/>
      <c r="BG120" s="71"/>
      <c r="BH120" s="71"/>
      <c r="BI120" s="71"/>
    </row>
    <row r="121" spans="1:61" x14ac:dyDescent="0.2">
      <c r="A121" s="73"/>
      <c r="B121" s="73"/>
      <c r="C121" s="73"/>
      <c r="D121" s="71"/>
      <c r="E121" s="73"/>
      <c r="F121" s="73"/>
      <c r="G121" s="73"/>
      <c r="H121" s="73"/>
      <c r="I121" s="73"/>
      <c r="J121" s="295"/>
      <c r="K121" s="295"/>
      <c r="L121" s="295"/>
      <c r="M121" s="295"/>
      <c r="N121" s="295"/>
      <c r="O121" s="295"/>
      <c r="P121" s="295"/>
      <c r="Q121" s="295"/>
      <c r="R121" s="295"/>
      <c r="S121" s="295"/>
      <c r="T121" s="295"/>
      <c r="U121" s="295"/>
      <c r="V121" s="295"/>
      <c r="W121" s="295"/>
      <c r="X121" s="295"/>
      <c r="Y121" s="295"/>
      <c r="Z121" s="295"/>
      <c r="AA121" s="295"/>
      <c r="AB121" s="295"/>
      <c r="AC121" s="295"/>
      <c r="AD121" s="295"/>
      <c r="AE121" s="295"/>
      <c r="AF121" s="295"/>
      <c r="AG121" s="295"/>
      <c r="AH121" s="295"/>
      <c r="AI121" s="295"/>
      <c r="AJ121" s="295"/>
      <c r="AK121" s="295"/>
      <c r="AL121" s="294"/>
      <c r="AM121" s="294"/>
      <c r="AN121" s="294"/>
      <c r="AO121" s="294"/>
      <c r="AP121" s="294"/>
      <c r="AQ121" s="294"/>
      <c r="AR121" s="294"/>
      <c r="AS121" s="71"/>
      <c r="AT121" s="71"/>
      <c r="AU121" s="71"/>
      <c r="AV121" s="71"/>
      <c r="AW121" s="71"/>
      <c r="AX121" s="71"/>
      <c r="AY121" s="71"/>
      <c r="AZ121" s="71"/>
      <c r="BA121" s="71"/>
      <c r="BB121" s="71"/>
      <c r="BC121" s="71"/>
      <c r="BD121" s="71"/>
      <c r="BE121" s="71"/>
      <c r="BF121" s="71"/>
      <c r="BG121" s="71"/>
      <c r="BH121" s="71"/>
      <c r="BI121" s="71"/>
    </row>
    <row r="122" spans="1:61" x14ac:dyDescent="0.2">
      <c r="A122" s="73"/>
      <c r="B122" s="73"/>
      <c r="C122" s="73"/>
      <c r="D122" s="71"/>
      <c r="E122" s="73"/>
      <c r="F122" s="73"/>
      <c r="G122" s="73"/>
      <c r="H122" s="73"/>
      <c r="I122" s="73"/>
      <c r="J122" s="295"/>
      <c r="K122" s="295"/>
      <c r="L122" s="295"/>
      <c r="M122" s="295"/>
      <c r="N122" s="295"/>
      <c r="O122" s="295"/>
      <c r="P122" s="295"/>
      <c r="Q122" s="295"/>
      <c r="R122" s="295"/>
      <c r="S122" s="295"/>
      <c r="T122" s="295"/>
      <c r="U122" s="295"/>
      <c r="V122" s="295"/>
      <c r="W122" s="295"/>
      <c r="X122" s="295"/>
      <c r="Y122" s="295"/>
      <c r="Z122" s="295"/>
      <c r="AA122" s="295"/>
      <c r="AB122" s="295"/>
      <c r="AC122" s="295"/>
      <c r="AD122" s="295"/>
      <c r="AE122" s="295"/>
      <c r="AF122" s="295"/>
      <c r="AG122" s="295"/>
      <c r="AH122" s="295"/>
      <c r="AI122" s="295"/>
      <c r="AJ122" s="295"/>
      <c r="AK122" s="295"/>
      <c r="AL122" s="294"/>
      <c r="AM122" s="294"/>
      <c r="AN122" s="294"/>
      <c r="AO122" s="294"/>
      <c r="AP122" s="294"/>
      <c r="AQ122" s="294"/>
      <c r="AR122" s="294"/>
      <c r="AS122" s="71"/>
      <c r="AT122" s="71"/>
      <c r="AU122" s="71"/>
      <c r="AV122" s="71"/>
      <c r="AW122" s="71"/>
      <c r="AX122" s="71"/>
      <c r="AY122" s="71"/>
      <c r="AZ122" s="71"/>
      <c r="BA122" s="71"/>
      <c r="BB122" s="71"/>
      <c r="BC122" s="71"/>
      <c r="BD122" s="71"/>
      <c r="BE122" s="71"/>
      <c r="BF122" s="71"/>
      <c r="BG122" s="71"/>
      <c r="BH122" s="71"/>
      <c r="BI122" s="71"/>
    </row>
    <row r="123" spans="1:61" x14ac:dyDescent="0.2">
      <c r="A123" s="73"/>
      <c r="B123" s="73"/>
      <c r="C123" s="73"/>
      <c r="D123" s="71"/>
      <c r="E123" s="73"/>
      <c r="F123" s="73"/>
      <c r="G123" s="73"/>
      <c r="H123" s="73"/>
      <c r="I123" s="73"/>
      <c r="J123" s="295"/>
      <c r="K123" s="295"/>
      <c r="L123" s="295"/>
      <c r="M123" s="295"/>
      <c r="N123" s="295"/>
      <c r="O123" s="295"/>
      <c r="P123" s="295"/>
      <c r="Q123" s="295"/>
      <c r="R123" s="295"/>
      <c r="S123" s="295"/>
      <c r="T123" s="295"/>
      <c r="U123" s="295"/>
      <c r="V123" s="295"/>
      <c r="W123" s="295"/>
      <c r="X123" s="295"/>
      <c r="Y123" s="295"/>
      <c r="Z123" s="295"/>
      <c r="AA123" s="295"/>
      <c r="AB123" s="295"/>
      <c r="AC123" s="295"/>
      <c r="AD123" s="295"/>
      <c r="AE123" s="295"/>
      <c r="AF123" s="295"/>
      <c r="AG123" s="295"/>
      <c r="AH123" s="295"/>
      <c r="AI123" s="295"/>
      <c r="AJ123" s="295"/>
      <c r="AK123" s="295"/>
      <c r="AL123" s="294"/>
      <c r="AM123" s="294"/>
      <c r="AN123" s="294"/>
      <c r="AO123" s="294"/>
      <c r="AP123" s="294"/>
      <c r="AQ123" s="294"/>
      <c r="AR123" s="294"/>
      <c r="AS123" s="71"/>
      <c r="AT123" s="71"/>
      <c r="AU123" s="71"/>
      <c r="AV123" s="71"/>
      <c r="AW123" s="71"/>
      <c r="AX123" s="71"/>
      <c r="AY123" s="71"/>
      <c r="AZ123" s="71"/>
      <c r="BA123" s="71"/>
      <c r="BB123" s="71"/>
      <c r="BC123" s="71"/>
      <c r="BD123" s="71"/>
      <c r="BE123" s="71"/>
      <c r="BF123" s="71"/>
      <c r="BG123" s="71"/>
      <c r="BH123" s="71"/>
      <c r="BI123" s="71"/>
    </row>
    <row r="124" spans="1:61" x14ac:dyDescent="0.2">
      <c r="A124" s="73"/>
      <c r="B124" s="73"/>
      <c r="C124" s="73"/>
      <c r="D124" s="71"/>
      <c r="E124" s="73"/>
      <c r="F124" s="73"/>
      <c r="G124" s="73"/>
      <c r="H124" s="73"/>
      <c r="I124" s="73"/>
      <c r="J124" s="295"/>
      <c r="K124" s="295"/>
      <c r="L124" s="295"/>
      <c r="M124" s="295"/>
      <c r="N124" s="295"/>
      <c r="O124" s="295"/>
      <c r="P124" s="295"/>
      <c r="Q124" s="295"/>
      <c r="R124" s="295"/>
      <c r="S124" s="295"/>
      <c r="T124" s="295"/>
      <c r="U124" s="295"/>
      <c r="V124" s="295"/>
      <c r="W124" s="295"/>
      <c r="X124" s="295"/>
      <c r="Y124" s="295"/>
      <c r="Z124" s="295"/>
      <c r="AA124" s="295"/>
      <c r="AB124" s="295"/>
      <c r="AC124" s="295"/>
      <c r="AD124" s="295"/>
      <c r="AE124" s="295"/>
      <c r="AF124" s="295"/>
      <c r="AG124" s="295"/>
      <c r="AH124" s="295"/>
      <c r="AI124" s="295"/>
      <c r="AJ124" s="295"/>
      <c r="AK124" s="295"/>
      <c r="AL124" s="294"/>
      <c r="AM124" s="294"/>
      <c r="AN124" s="294"/>
      <c r="AO124" s="294"/>
      <c r="AP124" s="294"/>
      <c r="AQ124" s="294"/>
      <c r="AR124" s="294"/>
      <c r="AS124" s="71"/>
      <c r="AT124" s="71"/>
      <c r="AU124" s="71"/>
      <c r="AV124" s="71"/>
      <c r="AW124" s="71"/>
      <c r="AX124" s="71"/>
      <c r="AY124" s="71"/>
      <c r="AZ124" s="71"/>
      <c r="BA124" s="71"/>
      <c r="BB124" s="71"/>
      <c r="BC124" s="71"/>
      <c r="BD124" s="71"/>
      <c r="BE124" s="71"/>
      <c r="BF124" s="71"/>
      <c r="BG124" s="71"/>
      <c r="BH124" s="71"/>
      <c r="BI124" s="71"/>
    </row>
    <row r="125" spans="1:61" x14ac:dyDescent="0.2">
      <c r="A125" s="73"/>
      <c r="B125" s="73"/>
      <c r="C125" s="73"/>
      <c r="D125" s="71"/>
      <c r="E125" s="73"/>
      <c r="F125" s="73"/>
      <c r="G125" s="73"/>
      <c r="H125" s="73"/>
      <c r="I125" s="73"/>
      <c r="J125" s="295"/>
      <c r="K125" s="295"/>
      <c r="L125" s="295"/>
      <c r="M125" s="295"/>
      <c r="N125" s="295"/>
      <c r="O125" s="295"/>
      <c r="P125" s="295"/>
      <c r="Q125" s="295"/>
      <c r="R125" s="295"/>
      <c r="S125" s="295"/>
      <c r="T125" s="295"/>
      <c r="U125" s="295"/>
      <c r="V125" s="295"/>
      <c r="W125" s="295"/>
      <c r="X125" s="295"/>
      <c r="Y125" s="295"/>
      <c r="Z125" s="295"/>
      <c r="AA125" s="295"/>
      <c r="AB125" s="295"/>
      <c r="AC125" s="295"/>
      <c r="AD125" s="295"/>
      <c r="AE125" s="295"/>
      <c r="AF125" s="295"/>
      <c r="AG125" s="295"/>
      <c r="AH125" s="295"/>
      <c r="AI125" s="295"/>
      <c r="AJ125" s="295"/>
      <c r="AK125" s="295"/>
      <c r="AL125" s="294"/>
      <c r="AM125" s="294"/>
      <c r="AN125" s="294"/>
      <c r="AO125" s="294"/>
      <c r="AP125" s="294"/>
      <c r="AQ125" s="294"/>
      <c r="AR125" s="294"/>
      <c r="AS125" s="71"/>
      <c r="AT125" s="71"/>
      <c r="AU125" s="71"/>
      <c r="AV125" s="71"/>
      <c r="AW125" s="71"/>
      <c r="AX125" s="71"/>
      <c r="AY125" s="71"/>
      <c r="AZ125" s="71"/>
      <c r="BA125" s="71"/>
      <c r="BB125" s="71"/>
      <c r="BC125" s="71"/>
      <c r="BD125" s="71"/>
      <c r="BE125" s="71"/>
      <c r="BF125" s="71"/>
      <c r="BG125" s="71"/>
      <c r="BH125" s="71"/>
      <c r="BI125" s="71"/>
    </row>
    <row r="126" spans="1:61" x14ac:dyDescent="0.2">
      <c r="A126" s="73"/>
      <c r="B126" s="73"/>
      <c r="C126" s="73"/>
      <c r="D126" s="71"/>
      <c r="E126" s="73"/>
      <c r="F126" s="73"/>
      <c r="G126" s="73"/>
      <c r="H126" s="73"/>
      <c r="I126" s="73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5"/>
      <c r="AC126" s="295"/>
      <c r="AD126" s="295"/>
      <c r="AE126" s="295"/>
      <c r="AF126" s="295"/>
      <c r="AG126" s="295"/>
      <c r="AH126" s="295"/>
      <c r="AI126" s="295"/>
      <c r="AJ126" s="295"/>
      <c r="AK126" s="295"/>
      <c r="AL126" s="294"/>
      <c r="AM126" s="294"/>
      <c r="AN126" s="294"/>
      <c r="AO126" s="294"/>
      <c r="AP126" s="294"/>
      <c r="AQ126" s="294"/>
      <c r="AR126" s="294"/>
      <c r="AS126" s="71"/>
      <c r="AT126" s="71"/>
      <c r="AU126" s="71"/>
      <c r="AV126" s="71"/>
      <c r="AW126" s="71"/>
      <c r="AX126" s="71"/>
      <c r="AY126" s="71"/>
      <c r="AZ126" s="71"/>
      <c r="BA126" s="71"/>
      <c r="BB126" s="71"/>
      <c r="BC126" s="71"/>
      <c r="BD126" s="71"/>
      <c r="BE126" s="71"/>
      <c r="BF126" s="71"/>
      <c r="BG126" s="71"/>
      <c r="BH126" s="71"/>
      <c r="BI126" s="71"/>
    </row>
    <row r="127" spans="1:61" x14ac:dyDescent="0.2">
      <c r="A127" s="73"/>
      <c r="B127" s="73"/>
      <c r="C127" s="73"/>
      <c r="D127" s="71"/>
      <c r="E127" s="73"/>
      <c r="F127" s="73"/>
      <c r="G127" s="73"/>
      <c r="H127" s="73"/>
      <c r="I127" s="73"/>
      <c r="J127" s="295"/>
      <c r="K127" s="295"/>
      <c r="L127" s="295"/>
      <c r="M127" s="295"/>
      <c r="N127" s="295"/>
      <c r="O127" s="295"/>
      <c r="P127" s="295"/>
      <c r="Q127" s="295"/>
      <c r="R127" s="295"/>
      <c r="S127" s="295"/>
      <c r="T127" s="295"/>
      <c r="U127" s="295"/>
      <c r="V127" s="295"/>
      <c r="W127" s="295"/>
      <c r="X127" s="295"/>
      <c r="Y127" s="295"/>
      <c r="Z127" s="295"/>
      <c r="AA127" s="295"/>
      <c r="AB127" s="295"/>
      <c r="AC127" s="295"/>
      <c r="AD127" s="295"/>
      <c r="AE127" s="295"/>
      <c r="AF127" s="295"/>
      <c r="AG127" s="295"/>
      <c r="AH127" s="295"/>
      <c r="AI127" s="295"/>
      <c r="AJ127" s="295"/>
      <c r="AK127" s="295"/>
      <c r="AL127" s="294"/>
      <c r="AM127" s="294"/>
      <c r="AN127" s="294"/>
      <c r="AO127" s="294"/>
      <c r="AP127" s="294"/>
      <c r="AQ127" s="294"/>
      <c r="AR127" s="294"/>
      <c r="AS127" s="71"/>
      <c r="AT127" s="71"/>
      <c r="AU127" s="71"/>
      <c r="AV127" s="71"/>
      <c r="AW127" s="71"/>
      <c r="AX127" s="71"/>
      <c r="AY127" s="71"/>
      <c r="AZ127" s="71"/>
      <c r="BA127" s="71"/>
      <c r="BB127" s="71"/>
      <c r="BC127" s="71"/>
      <c r="BD127" s="71"/>
      <c r="BE127" s="71"/>
      <c r="BF127" s="71"/>
      <c r="BG127" s="71"/>
      <c r="BH127" s="71"/>
      <c r="BI127" s="71"/>
    </row>
    <row r="128" spans="1:61" x14ac:dyDescent="0.2">
      <c r="A128" s="73"/>
      <c r="B128" s="73"/>
      <c r="C128" s="73"/>
      <c r="D128" s="71"/>
      <c r="E128" s="73"/>
      <c r="F128" s="73"/>
      <c r="G128" s="73"/>
      <c r="H128" s="73"/>
      <c r="I128" s="73"/>
      <c r="J128" s="295"/>
      <c r="K128" s="295"/>
      <c r="L128" s="295"/>
      <c r="M128" s="295"/>
      <c r="N128" s="295"/>
      <c r="O128" s="295"/>
      <c r="P128" s="295"/>
      <c r="Q128" s="295"/>
      <c r="R128" s="295"/>
      <c r="S128" s="295"/>
      <c r="T128" s="295"/>
      <c r="U128" s="295"/>
      <c r="V128" s="295"/>
      <c r="W128" s="295"/>
      <c r="X128" s="295"/>
      <c r="Y128" s="295"/>
      <c r="Z128" s="295"/>
      <c r="AA128" s="295"/>
      <c r="AB128" s="295"/>
      <c r="AC128" s="295"/>
      <c r="AD128" s="295"/>
      <c r="AE128" s="295"/>
      <c r="AF128" s="295"/>
      <c r="AG128" s="295"/>
      <c r="AH128" s="295"/>
      <c r="AI128" s="295"/>
      <c r="AJ128" s="295"/>
      <c r="AK128" s="295"/>
      <c r="AL128" s="294"/>
      <c r="AM128" s="294"/>
      <c r="AN128" s="294"/>
      <c r="AO128" s="294"/>
      <c r="AP128" s="294"/>
      <c r="AQ128" s="294"/>
      <c r="AR128" s="294"/>
      <c r="AS128" s="71"/>
      <c r="AT128" s="71"/>
      <c r="AU128" s="71"/>
      <c r="AV128" s="71"/>
      <c r="AW128" s="71"/>
      <c r="AX128" s="71"/>
      <c r="AY128" s="71"/>
      <c r="AZ128" s="71"/>
      <c r="BA128" s="71"/>
      <c r="BB128" s="71"/>
      <c r="BC128" s="71"/>
      <c r="BD128" s="71"/>
      <c r="BE128" s="71"/>
      <c r="BF128" s="71"/>
      <c r="BG128" s="71"/>
      <c r="BH128" s="71"/>
      <c r="BI128" s="71"/>
    </row>
    <row r="129" spans="1:61" x14ac:dyDescent="0.2">
      <c r="A129" s="73"/>
      <c r="B129" s="73"/>
      <c r="C129" s="73"/>
      <c r="D129" s="71"/>
      <c r="E129" s="73"/>
      <c r="F129" s="73"/>
      <c r="G129" s="73"/>
      <c r="H129" s="73"/>
      <c r="I129" s="73"/>
      <c r="J129" s="295"/>
      <c r="K129" s="295"/>
      <c r="L129" s="295"/>
      <c r="M129" s="295"/>
      <c r="N129" s="295"/>
      <c r="O129" s="295"/>
      <c r="P129" s="295"/>
      <c r="Q129" s="295"/>
      <c r="R129" s="295"/>
      <c r="S129" s="295"/>
      <c r="T129" s="295"/>
      <c r="U129" s="295"/>
      <c r="V129" s="295"/>
      <c r="W129" s="295"/>
      <c r="X129" s="295"/>
      <c r="Y129" s="295"/>
      <c r="Z129" s="295"/>
      <c r="AA129" s="295"/>
      <c r="AB129" s="295"/>
      <c r="AC129" s="295"/>
      <c r="AD129" s="295"/>
      <c r="AE129" s="295"/>
      <c r="AF129" s="295"/>
      <c r="AG129" s="295"/>
      <c r="AH129" s="295"/>
      <c r="AI129" s="295"/>
      <c r="AJ129" s="295"/>
      <c r="AK129" s="295"/>
      <c r="AL129" s="294"/>
      <c r="AM129" s="294"/>
      <c r="AN129" s="294"/>
      <c r="AO129" s="294"/>
      <c r="AP129" s="294"/>
      <c r="AQ129" s="294"/>
      <c r="AR129" s="294"/>
      <c r="AS129" s="71"/>
      <c r="AT129" s="71"/>
      <c r="AU129" s="71"/>
      <c r="AV129" s="71"/>
      <c r="AW129" s="71"/>
      <c r="AX129" s="71"/>
      <c r="AY129" s="71"/>
      <c r="AZ129" s="71"/>
      <c r="BA129" s="71"/>
      <c r="BB129" s="71"/>
      <c r="BC129" s="71"/>
      <c r="BD129" s="71"/>
      <c r="BE129" s="71"/>
      <c r="BF129" s="71"/>
      <c r="BG129" s="71"/>
      <c r="BH129" s="71"/>
      <c r="BI129" s="71"/>
    </row>
    <row r="130" spans="1:61" x14ac:dyDescent="0.2">
      <c r="A130" s="73"/>
      <c r="B130" s="73"/>
      <c r="C130" s="73"/>
      <c r="D130" s="71"/>
      <c r="E130" s="73"/>
      <c r="F130" s="73"/>
      <c r="G130" s="73"/>
      <c r="H130" s="73"/>
      <c r="I130" s="73"/>
      <c r="J130" s="295"/>
      <c r="K130" s="295"/>
      <c r="L130" s="295"/>
      <c r="M130" s="295"/>
      <c r="N130" s="295"/>
      <c r="O130" s="295"/>
      <c r="P130" s="295"/>
      <c r="Q130" s="295"/>
      <c r="R130" s="295"/>
      <c r="S130" s="295"/>
      <c r="T130" s="295"/>
      <c r="U130" s="295"/>
      <c r="V130" s="295"/>
      <c r="W130" s="295"/>
      <c r="X130" s="295"/>
      <c r="Y130" s="295"/>
      <c r="Z130" s="295"/>
      <c r="AA130" s="295"/>
      <c r="AB130" s="295"/>
      <c r="AC130" s="295"/>
      <c r="AD130" s="295"/>
      <c r="AE130" s="295"/>
      <c r="AF130" s="295"/>
      <c r="AG130" s="295"/>
      <c r="AH130" s="295"/>
      <c r="AI130" s="295"/>
      <c r="AJ130" s="295"/>
      <c r="AK130" s="295"/>
      <c r="AL130" s="294"/>
      <c r="AM130" s="294"/>
      <c r="AN130" s="294"/>
      <c r="AO130" s="294"/>
      <c r="AP130" s="294"/>
      <c r="AQ130" s="294"/>
      <c r="AR130" s="294"/>
      <c r="AS130" s="71"/>
      <c r="AT130" s="71"/>
      <c r="AU130" s="71"/>
      <c r="AV130" s="71"/>
      <c r="AW130" s="71"/>
      <c r="AX130" s="71"/>
      <c r="AY130" s="71"/>
      <c r="AZ130" s="71"/>
      <c r="BA130" s="71"/>
      <c r="BB130" s="71"/>
      <c r="BC130" s="71"/>
      <c r="BD130" s="71"/>
      <c r="BE130" s="71"/>
      <c r="BF130" s="71"/>
      <c r="BG130" s="71"/>
      <c r="BH130" s="71"/>
      <c r="BI130" s="71"/>
    </row>
    <row r="131" spans="1:61" x14ac:dyDescent="0.2">
      <c r="A131" s="73"/>
      <c r="B131" s="73"/>
      <c r="C131" s="73"/>
      <c r="D131" s="71"/>
      <c r="E131" s="73"/>
      <c r="F131" s="73"/>
      <c r="G131" s="73"/>
      <c r="H131" s="73"/>
      <c r="I131" s="73"/>
      <c r="J131" s="295"/>
      <c r="K131" s="295"/>
      <c r="L131" s="295"/>
      <c r="M131" s="295"/>
      <c r="N131" s="295"/>
      <c r="O131" s="295"/>
      <c r="P131" s="295"/>
      <c r="Q131" s="295"/>
      <c r="R131" s="295"/>
      <c r="S131" s="295"/>
      <c r="T131" s="295"/>
      <c r="U131" s="295"/>
      <c r="V131" s="295"/>
      <c r="W131" s="295"/>
      <c r="X131" s="295"/>
      <c r="Y131" s="295"/>
      <c r="Z131" s="295"/>
      <c r="AA131" s="295"/>
      <c r="AB131" s="295"/>
      <c r="AC131" s="295"/>
      <c r="AD131" s="295"/>
      <c r="AE131" s="295"/>
      <c r="AF131" s="295"/>
      <c r="AG131" s="295"/>
      <c r="AH131" s="295"/>
      <c r="AI131" s="295"/>
      <c r="AJ131" s="295"/>
      <c r="AK131" s="295"/>
      <c r="AL131" s="294"/>
      <c r="AM131" s="294"/>
      <c r="AN131" s="294"/>
      <c r="AO131" s="294"/>
      <c r="AP131" s="294"/>
      <c r="AQ131" s="294"/>
      <c r="AR131" s="294"/>
      <c r="AS131" s="71"/>
      <c r="AT131" s="71"/>
      <c r="AU131" s="71"/>
      <c r="AV131" s="71"/>
      <c r="AW131" s="71"/>
      <c r="AX131" s="71"/>
      <c r="AY131" s="71"/>
      <c r="AZ131" s="71"/>
      <c r="BA131" s="71"/>
      <c r="BB131" s="71"/>
      <c r="BC131" s="71"/>
      <c r="BD131" s="71"/>
      <c r="BE131" s="71"/>
      <c r="BF131" s="71"/>
      <c r="BG131" s="71"/>
      <c r="BH131" s="71"/>
      <c r="BI131" s="71"/>
    </row>
    <row r="132" spans="1:61" x14ac:dyDescent="0.2">
      <c r="A132" s="73"/>
      <c r="B132" s="73"/>
      <c r="C132" s="73"/>
      <c r="D132" s="71"/>
      <c r="E132" s="73"/>
      <c r="F132" s="73"/>
      <c r="G132" s="73"/>
      <c r="H132" s="73"/>
      <c r="I132" s="73"/>
      <c r="J132" s="295"/>
      <c r="K132" s="295"/>
      <c r="L132" s="295"/>
      <c r="M132" s="295"/>
      <c r="N132" s="295"/>
      <c r="O132" s="295"/>
      <c r="P132" s="295"/>
      <c r="Q132" s="295"/>
      <c r="R132" s="295"/>
      <c r="S132" s="295"/>
      <c r="T132" s="295"/>
      <c r="U132" s="295"/>
      <c r="V132" s="295"/>
      <c r="W132" s="295"/>
      <c r="X132" s="295"/>
      <c r="Y132" s="295"/>
      <c r="Z132" s="295"/>
      <c r="AA132" s="295"/>
      <c r="AB132" s="295"/>
      <c r="AC132" s="295"/>
      <c r="AD132" s="295"/>
      <c r="AE132" s="295"/>
      <c r="AF132" s="295"/>
      <c r="AG132" s="295"/>
      <c r="AH132" s="295"/>
      <c r="AI132" s="295"/>
      <c r="AJ132" s="295"/>
      <c r="AK132" s="295"/>
      <c r="AL132" s="294"/>
      <c r="AM132" s="294"/>
      <c r="AN132" s="294"/>
      <c r="AO132" s="294"/>
      <c r="AP132" s="294"/>
      <c r="AQ132" s="294"/>
      <c r="AR132" s="294"/>
      <c r="AS132" s="71"/>
      <c r="AT132" s="71"/>
      <c r="AU132" s="71"/>
      <c r="AV132" s="71"/>
      <c r="AW132" s="71"/>
      <c r="AX132" s="71"/>
      <c r="AY132" s="71"/>
      <c r="AZ132" s="71"/>
      <c r="BA132" s="71"/>
      <c r="BB132" s="71"/>
      <c r="BC132" s="71"/>
      <c r="BD132" s="71"/>
      <c r="BE132" s="71"/>
      <c r="BF132" s="71"/>
      <c r="BG132" s="71"/>
      <c r="BH132" s="71"/>
      <c r="BI132" s="71"/>
    </row>
    <row r="133" spans="1:61" x14ac:dyDescent="0.2">
      <c r="A133" s="73"/>
      <c r="B133" s="73"/>
      <c r="C133" s="73"/>
      <c r="D133" s="71"/>
      <c r="E133" s="73"/>
      <c r="F133" s="73"/>
      <c r="G133" s="73"/>
      <c r="H133" s="73"/>
      <c r="I133" s="73"/>
      <c r="J133" s="295"/>
      <c r="K133" s="295"/>
      <c r="L133" s="295"/>
      <c r="M133" s="295"/>
      <c r="N133" s="295"/>
      <c r="O133" s="295"/>
      <c r="P133" s="295"/>
      <c r="Q133" s="295"/>
      <c r="R133" s="295"/>
      <c r="S133" s="295"/>
      <c r="T133" s="295"/>
      <c r="U133" s="295"/>
      <c r="V133" s="295"/>
      <c r="W133" s="295"/>
      <c r="X133" s="295"/>
      <c r="Y133" s="295"/>
      <c r="Z133" s="295"/>
      <c r="AA133" s="295"/>
      <c r="AB133" s="295"/>
      <c r="AC133" s="295"/>
      <c r="AD133" s="295"/>
      <c r="AE133" s="295"/>
      <c r="AF133" s="295"/>
      <c r="AG133" s="295"/>
      <c r="AH133" s="295"/>
      <c r="AI133" s="295"/>
      <c r="AJ133" s="295"/>
      <c r="AK133" s="295"/>
      <c r="AL133" s="294"/>
      <c r="AM133" s="294"/>
      <c r="AN133" s="294"/>
      <c r="AO133" s="294"/>
      <c r="AP133" s="294"/>
      <c r="AQ133" s="294"/>
      <c r="AR133" s="294"/>
      <c r="AS133" s="71"/>
      <c r="AT133" s="71"/>
      <c r="AU133" s="71"/>
      <c r="AV133" s="71"/>
      <c r="AW133" s="71"/>
      <c r="AX133" s="71"/>
      <c r="AY133" s="71"/>
      <c r="AZ133" s="71"/>
      <c r="BA133" s="71"/>
      <c r="BB133" s="71"/>
      <c r="BC133" s="71"/>
      <c r="BD133" s="71"/>
      <c r="BE133" s="71"/>
      <c r="BF133" s="71"/>
      <c r="BG133" s="71"/>
      <c r="BH133" s="71"/>
      <c r="BI133" s="71"/>
    </row>
    <row r="134" spans="1:61" x14ac:dyDescent="0.2">
      <c r="A134" s="73"/>
      <c r="B134" s="73"/>
      <c r="C134" s="73"/>
      <c r="D134" s="71"/>
      <c r="E134" s="73"/>
      <c r="F134" s="73"/>
      <c r="G134" s="73"/>
      <c r="H134" s="73"/>
      <c r="I134" s="73"/>
      <c r="J134" s="295"/>
      <c r="K134" s="295"/>
      <c r="L134" s="295"/>
      <c r="M134" s="295"/>
      <c r="N134" s="295"/>
      <c r="O134" s="295"/>
      <c r="P134" s="295"/>
      <c r="Q134" s="295"/>
      <c r="R134" s="295"/>
      <c r="S134" s="295"/>
      <c r="T134" s="295"/>
      <c r="U134" s="295"/>
      <c r="V134" s="295"/>
      <c r="W134" s="295"/>
      <c r="X134" s="295"/>
      <c r="Y134" s="295"/>
      <c r="Z134" s="295"/>
      <c r="AA134" s="295"/>
      <c r="AB134" s="295"/>
      <c r="AC134" s="295"/>
      <c r="AD134" s="295"/>
      <c r="AE134" s="295"/>
      <c r="AF134" s="295"/>
      <c r="AG134" s="295"/>
      <c r="AH134" s="295"/>
      <c r="AI134" s="295"/>
      <c r="AJ134" s="295"/>
      <c r="AK134" s="295"/>
      <c r="AL134" s="294"/>
      <c r="AM134" s="294"/>
      <c r="AN134" s="294"/>
      <c r="AO134" s="294"/>
      <c r="AP134" s="294"/>
      <c r="AQ134" s="294"/>
      <c r="AR134" s="294"/>
      <c r="AS134" s="71"/>
      <c r="AT134" s="71"/>
      <c r="AU134" s="71"/>
      <c r="AV134" s="71"/>
      <c r="AW134" s="71"/>
      <c r="AX134" s="71"/>
      <c r="AY134" s="71"/>
      <c r="AZ134" s="71"/>
      <c r="BA134" s="71"/>
      <c r="BB134" s="71"/>
      <c r="BC134" s="71"/>
      <c r="BD134" s="71"/>
      <c r="BE134" s="71"/>
      <c r="BF134" s="71"/>
      <c r="BG134" s="71"/>
      <c r="BH134" s="71"/>
      <c r="BI134" s="71"/>
    </row>
    <row r="135" spans="1:61" x14ac:dyDescent="0.2">
      <c r="A135" s="73"/>
      <c r="B135" s="73"/>
      <c r="C135" s="73"/>
      <c r="D135" s="71"/>
      <c r="E135" s="73"/>
      <c r="F135" s="73"/>
      <c r="G135" s="73"/>
      <c r="H135" s="73"/>
      <c r="I135" s="73"/>
      <c r="J135" s="295"/>
      <c r="K135" s="295"/>
      <c r="L135" s="295"/>
      <c r="M135" s="295"/>
      <c r="N135" s="295"/>
      <c r="O135" s="295"/>
      <c r="P135" s="295"/>
      <c r="Q135" s="295"/>
      <c r="R135" s="295"/>
      <c r="S135" s="295"/>
      <c r="T135" s="295"/>
      <c r="U135" s="295"/>
      <c r="V135" s="295"/>
      <c r="W135" s="295"/>
      <c r="X135" s="295"/>
      <c r="Y135" s="295"/>
      <c r="Z135" s="295"/>
      <c r="AA135" s="295"/>
      <c r="AB135" s="295"/>
      <c r="AC135" s="295"/>
      <c r="AD135" s="295"/>
      <c r="AE135" s="295"/>
      <c r="AF135" s="295"/>
      <c r="AG135" s="295"/>
      <c r="AH135" s="295"/>
      <c r="AI135" s="295"/>
      <c r="AJ135" s="295"/>
      <c r="AK135" s="295"/>
      <c r="AL135" s="294"/>
      <c r="AM135" s="294"/>
      <c r="AN135" s="294"/>
      <c r="AO135" s="294"/>
      <c r="AP135" s="294"/>
      <c r="AQ135" s="294"/>
      <c r="AR135" s="294"/>
      <c r="AS135" s="71"/>
      <c r="AT135" s="71"/>
      <c r="AU135" s="71"/>
      <c r="AV135" s="71"/>
      <c r="AW135" s="71"/>
      <c r="AX135" s="71"/>
      <c r="AY135" s="71"/>
      <c r="AZ135" s="71"/>
      <c r="BA135" s="71"/>
      <c r="BB135" s="71"/>
      <c r="BC135" s="71"/>
      <c r="BD135" s="71"/>
      <c r="BE135" s="71"/>
      <c r="BF135" s="71"/>
      <c r="BG135" s="71"/>
      <c r="BH135" s="71"/>
      <c r="BI135" s="71"/>
    </row>
    <row r="136" spans="1:61" x14ac:dyDescent="0.2">
      <c r="A136" s="73"/>
      <c r="B136" s="73"/>
      <c r="C136" s="73"/>
      <c r="D136" s="71"/>
      <c r="E136" s="73"/>
      <c r="F136" s="73"/>
      <c r="G136" s="73"/>
      <c r="H136" s="73"/>
      <c r="I136" s="73"/>
      <c r="J136" s="295"/>
      <c r="K136" s="295"/>
      <c r="L136" s="295"/>
      <c r="M136" s="295"/>
      <c r="N136" s="295"/>
      <c r="O136" s="295"/>
      <c r="P136" s="295"/>
      <c r="Q136" s="295"/>
      <c r="R136" s="295"/>
      <c r="S136" s="295"/>
      <c r="T136" s="295"/>
      <c r="U136" s="295"/>
      <c r="V136" s="295"/>
      <c r="W136" s="295"/>
      <c r="X136" s="295"/>
      <c r="Y136" s="295"/>
      <c r="Z136" s="295"/>
      <c r="AA136" s="295"/>
      <c r="AB136" s="295"/>
      <c r="AC136" s="295"/>
      <c r="AD136" s="295"/>
      <c r="AE136" s="295"/>
      <c r="AF136" s="295"/>
      <c r="AG136" s="295"/>
      <c r="AH136" s="295"/>
      <c r="AI136" s="295"/>
      <c r="AJ136" s="295"/>
      <c r="AK136" s="295"/>
      <c r="AL136" s="294"/>
      <c r="AM136" s="294"/>
      <c r="AN136" s="294"/>
      <c r="AO136" s="294"/>
      <c r="AP136" s="294"/>
      <c r="AQ136" s="294"/>
      <c r="AR136" s="294"/>
      <c r="AS136" s="71"/>
      <c r="AT136" s="71"/>
      <c r="AU136" s="71"/>
      <c r="AV136" s="71"/>
      <c r="AW136" s="71"/>
      <c r="AX136" s="71"/>
      <c r="AY136" s="71"/>
      <c r="AZ136" s="71"/>
      <c r="BA136" s="71"/>
      <c r="BB136" s="71"/>
      <c r="BC136" s="71"/>
      <c r="BD136" s="71"/>
      <c r="BE136" s="71"/>
      <c r="BF136" s="71"/>
      <c r="BG136" s="71"/>
      <c r="BH136" s="71"/>
      <c r="BI136" s="71"/>
    </row>
    <row r="137" spans="1:61" x14ac:dyDescent="0.2">
      <c r="A137" s="73"/>
      <c r="B137" s="73"/>
      <c r="C137" s="73"/>
      <c r="D137" s="71"/>
      <c r="E137" s="73"/>
      <c r="F137" s="73"/>
      <c r="G137" s="73"/>
      <c r="H137" s="73"/>
      <c r="I137" s="73"/>
      <c r="J137" s="295"/>
      <c r="K137" s="295"/>
      <c r="L137" s="295"/>
      <c r="M137" s="295"/>
      <c r="N137" s="295"/>
      <c r="O137" s="295"/>
      <c r="P137" s="295"/>
      <c r="Q137" s="295"/>
      <c r="R137" s="295"/>
      <c r="S137" s="295"/>
      <c r="T137" s="295"/>
      <c r="U137" s="295"/>
      <c r="V137" s="295"/>
      <c r="W137" s="295"/>
      <c r="X137" s="295"/>
      <c r="Y137" s="295"/>
      <c r="Z137" s="295"/>
      <c r="AA137" s="295"/>
      <c r="AB137" s="295"/>
      <c r="AC137" s="295"/>
      <c r="AD137" s="295"/>
      <c r="AE137" s="295"/>
      <c r="AF137" s="295"/>
      <c r="AG137" s="295"/>
      <c r="AH137" s="295"/>
      <c r="AI137" s="295"/>
      <c r="AJ137" s="295"/>
      <c r="AK137" s="295"/>
      <c r="AL137" s="294"/>
      <c r="AM137" s="294"/>
      <c r="AN137" s="294"/>
      <c r="AO137" s="294"/>
      <c r="AP137" s="294"/>
      <c r="AQ137" s="294"/>
      <c r="AR137" s="294"/>
      <c r="AS137" s="71"/>
      <c r="AT137" s="71"/>
      <c r="AU137" s="71"/>
      <c r="AV137" s="71"/>
      <c r="AW137" s="71"/>
      <c r="AX137" s="71"/>
      <c r="AY137" s="71"/>
      <c r="AZ137" s="71"/>
      <c r="BA137" s="71"/>
      <c r="BB137" s="71"/>
      <c r="BC137" s="71"/>
      <c r="BD137" s="71"/>
      <c r="BE137" s="71"/>
      <c r="BF137" s="71"/>
      <c r="BG137" s="71"/>
      <c r="BH137" s="71"/>
      <c r="BI137" s="71"/>
    </row>
    <row r="138" spans="1:61" x14ac:dyDescent="0.2">
      <c r="A138" s="73"/>
      <c r="B138" s="73"/>
      <c r="C138" s="73"/>
      <c r="D138" s="71"/>
      <c r="E138" s="73"/>
      <c r="F138" s="73"/>
      <c r="G138" s="73"/>
      <c r="H138" s="73"/>
      <c r="I138" s="73"/>
      <c r="J138" s="295"/>
      <c r="K138" s="295"/>
      <c r="L138" s="295"/>
      <c r="M138" s="295"/>
      <c r="N138" s="295"/>
      <c r="O138" s="295"/>
      <c r="P138" s="295"/>
      <c r="Q138" s="295"/>
      <c r="R138" s="295"/>
      <c r="S138" s="295"/>
      <c r="T138" s="295"/>
      <c r="U138" s="295"/>
      <c r="V138" s="295"/>
      <c r="W138" s="295"/>
      <c r="X138" s="295"/>
      <c r="Y138" s="295"/>
      <c r="Z138" s="295"/>
      <c r="AA138" s="295"/>
      <c r="AB138" s="295"/>
      <c r="AC138" s="295"/>
      <c r="AD138" s="295"/>
      <c r="AE138" s="295"/>
      <c r="AF138" s="295"/>
      <c r="AG138" s="295"/>
      <c r="AH138" s="295"/>
      <c r="AI138" s="295"/>
      <c r="AJ138" s="295"/>
      <c r="AK138" s="295"/>
      <c r="AL138" s="294"/>
      <c r="AM138" s="294"/>
      <c r="AN138" s="294"/>
      <c r="AO138" s="294"/>
      <c r="AP138" s="294"/>
      <c r="AQ138" s="294"/>
      <c r="AR138" s="294"/>
      <c r="AS138" s="71"/>
      <c r="AT138" s="71"/>
      <c r="AU138" s="71"/>
      <c r="AV138" s="71"/>
      <c r="AW138" s="71"/>
      <c r="AX138" s="71"/>
      <c r="AY138" s="71"/>
      <c r="AZ138" s="71"/>
      <c r="BA138" s="71"/>
      <c r="BB138" s="71"/>
      <c r="BC138" s="71"/>
      <c r="BD138" s="71"/>
      <c r="BE138" s="71"/>
      <c r="BF138" s="71"/>
      <c r="BG138" s="71"/>
      <c r="BH138" s="71"/>
      <c r="BI138" s="71"/>
    </row>
    <row r="139" spans="1:61" x14ac:dyDescent="0.2">
      <c r="A139" s="73"/>
      <c r="B139" s="73"/>
      <c r="C139" s="73"/>
      <c r="D139" s="71"/>
      <c r="E139" s="73"/>
      <c r="F139" s="73"/>
      <c r="G139" s="73"/>
      <c r="H139" s="73"/>
      <c r="I139" s="73"/>
      <c r="J139" s="295"/>
      <c r="K139" s="295"/>
      <c r="L139" s="295"/>
      <c r="M139" s="295"/>
      <c r="N139" s="295"/>
      <c r="O139" s="295"/>
      <c r="P139" s="295"/>
      <c r="Q139" s="295"/>
      <c r="R139" s="295"/>
      <c r="S139" s="295"/>
      <c r="T139" s="295"/>
      <c r="U139" s="295"/>
      <c r="V139" s="295"/>
      <c r="W139" s="295"/>
      <c r="X139" s="295"/>
      <c r="Y139" s="295"/>
      <c r="Z139" s="295"/>
      <c r="AA139" s="295"/>
      <c r="AB139" s="295"/>
      <c r="AC139" s="295"/>
      <c r="AD139" s="295"/>
      <c r="AE139" s="295"/>
      <c r="AF139" s="295"/>
      <c r="AG139" s="295"/>
      <c r="AH139" s="295"/>
      <c r="AI139" s="295"/>
      <c r="AJ139" s="295"/>
      <c r="AK139" s="295"/>
      <c r="AL139" s="294"/>
      <c r="AM139" s="294"/>
      <c r="AN139" s="294"/>
      <c r="AO139" s="294"/>
      <c r="AP139" s="294"/>
      <c r="AQ139" s="294"/>
      <c r="AR139" s="294"/>
      <c r="AS139" s="71"/>
      <c r="AT139" s="71"/>
      <c r="AU139" s="71"/>
      <c r="AV139" s="71"/>
      <c r="AW139" s="71"/>
      <c r="AX139" s="71"/>
      <c r="AY139" s="71"/>
      <c r="AZ139" s="71"/>
      <c r="BA139" s="71"/>
      <c r="BB139" s="71"/>
      <c r="BC139" s="71"/>
      <c r="BD139" s="71"/>
      <c r="BE139" s="71"/>
      <c r="BF139" s="71"/>
      <c r="BG139" s="71"/>
      <c r="BH139" s="71"/>
      <c r="BI139" s="71"/>
    </row>
    <row r="140" spans="1:61" x14ac:dyDescent="0.2">
      <c r="A140" s="73"/>
      <c r="B140" s="73"/>
      <c r="C140" s="73"/>
      <c r="D140" s="71"/>
      <c r="E140" s="73"/>
      <c r="F140" s="73"/>
      <c r="G140" s="73"/>
      <c r="H140" s="73"/>
      <c r="I140" s="73"/>
      <c r="J140" s="295"/>
      <c r="K140" s="295"/>
      <c r="L140" s="295"/>
      <c r="M140" s="295"/>
      <c r="N140" s="295"/>
      <c r="O140" s="295"/>
      <c r="P140" s="295"/>
      <c r="Q140" s="295"/>
      <c r="R140" s="295"/>
      <c r="S140" s="295"/>
      <c r="T140" s="295"/>
      <c r="U140" s="295"/>
      <c r="V140" s="295"/>
      <c r="W140" s="295"/>
      <c r="X140" s="295"/>
      <c r="Y140" s="295"/>
      <c r="Z140" s="295"/>
      <c r="AA140" s="295"/>
      <c r="AB140" s="295"/>
      <c r="AC140" s="295"/>
      <c r="AD140" s="295"/>
      <c r="AE140" s="295"/>
      <c r="AF140" s="295"/>
      <c r="AG140" s="295"/>
      <c r="AH140" s="295"/>
      <c r="AI140" s="295"/>
      <c r="AJ140" s="295"/>
      <c r="AK140" s="295"/>
      <c r="AL140" s="294"/>
      <c r="AM140" s="294"/>
      <c r="AN140" s="294"/>
      <c r="AO140" s="294"/>
      <c r="AP140" s="294"/>
      <c r="AQ140" s="294"/>
      <c r="AR140" s="294"/>
      <c r="AS140" s="71"/>
      <c r="AT140" s="71"/>
      <c r="AU140" s="71"/>
      <c r="AV140" s="71"/>
      <c r="AW140" s="71"/>
      <c r="AX140" s="71"/>
      <c r="AY140" s="71"/>
      <c r="AZ140" s="71"/>
      <c r="BA140" s="71"/>
      <c r="BB140" s="71"/>
      <c r="BC140" s="71"/>
      <c r="BD140" s="71"/>
      <c r="BE140" s="71"/>
      <c r="BF140" s="71"/>
      <c r="BG140" s="71"/>
      <c r="BH140" s="71"/>
      <c r="BI140" s="71"/>
    </row>
    <row r="141" spans="1:61" x14ac:dyDescent="0.2">
      <c r="A141" s="73"/>
      <c r="B141" s="73"/>
      <c r="C141" s="73"/>
      <c r="D141" s="71"/>
      <c r="E141" s="73"/>
      <c r="F141" s="73"/>
      <c r="G141" s="73"/>
      <c r="H141" s="73"/>
      <c r="I141" s="73"/>
      <c r="J141" s="295"/>
      <c r="K141" s="295"/>
      <c r="L141" s="295"/>
      <c r="M141" s="295"/>
      <c r="N141" s="295"/>
      <c r="O141" s="295"/>
      <c r="P141" s="295"/>
      <c r="Q141" s="295"/>
      <c r="R141" s="295"/>
      <c r="S141" s="295"/>
      <c r="T141" s="295"/>
      <c r="U141" s="295"/>
      <c r="V141" s="295"/>
      <c r="W141" s="295"/>
      <c r="X141" s="295"/>
      <c r="Y141" s="295"/>
      <c r="Z141" s="295"/>
      <c r="AA141" s="295"/>
      <c r="AB141" s="295"/>
      <c r="AC141" s="295"/>
      <c r="AD141" s="295"/>
      <c r="AE141" s="295"/>
      <c r="AF141" s="295"/>
      <c r="AG141" s="295"/>
      <c r="AH141" s="295"/>
      <c r="AI141" s="295"/>
      <c r="AJ141" s="295"/>
      <c r="AK141" s="295"/>
      <c r="AL141" s="294"/>
      <c r="AM141" s="294"/>
      <c r="AN141" s="294"/>
      <c r="AO141" s="294"/>
      <c r="AP141" s="294"/>
      <c r="AQ141" s="294"/>
      <c r="AR141" s="294"/>
      <c r="AS141" s="71"/>
      <c r="AT141" s="71"/>
      <c r="AU141" s="71"/>
      <c r="AV141" s="71"/>
      <c r="AW141" s="71"/>
      <c r="AX141" s="71"/>
      <c r="AY141" s="71"/>
      <c r="AZ141" s="71"/>
      <c r="BA141" s="71"/>
      <c r="BB141" s="71"/>
      <c r="BC141" s="71"/>
      <c r="BD141" s="71"/>
      <c r="BE141" s="71"/>
      <c r="BF141" s="71"/>
      <c r="BG141" s="71"/>
      <c r="BH141" s="71"/>
      <c r="BI141" s="71"/>
    </row>
    <row r="142" spans="1:61" x14ac:dyDescent="0.2">
      <c r="A142" s="73"/>
      <c r="B142" s="73"/>
      <c r="C142" s="73"/>
      <c r="D142" s="71"/>
      <c r="E142" s="73"/>
      <c r="F142" s="73"/>
      <c r="G142" s="73"/>
      <c r="H142" s="73"/>
      <c r="I142" s="73"/>
      <c r="J142" s="295"/>
      <c r="K142" s="295"/>
      <c r="L142" s="295"/>
      <c r="M142" s="295"/>
      <c r="N142" s="295"/>
      <c r="O142" s="295"/>
      <c r="P142" s="295"/>
      <c r="Q142" s="295"/>
      <c r="R142" s="295"/>
      <c r="S142" s="295"/>
      <c r="T142" s="295"/>
      <c r="U142" s="295"/>
      <c r="V142" s="295"/>
      <c r="W142" s="295"/>
      <c r="X142" s="295"/>
      <c r="Y142" s="295"/>
      <c r="Z142" s="295"/>
      <c r="AA142" s="295"/>
      <c r="AB142" s="295"/>
      <c r="AC142" s="295"/>
      <c r="AD142" s="295"/>
      <c r="AE142" s="295"/>
      <c r="AF142" s="295"/>
      <c r="AG142" s="295"/>
      <c r="AH142" s="295"/>
      <c r="AI142" s="295"/>
      <c r="AJ142" s="295"/>
      <c r="AK142" s="295"/>
      <c r="AL142" s="294"/>
      <c r="AM142" s="294"/>
      <c r="AN142" s="294"/>
      <c r="AO142" s="294"/>
      <c r="AP142" s="294"/>
      <c r="AQ142" s="294"/>
      <c r="AR142" s="294"/>
      <c r="AS142" s="71"/>
      <c r="AT142" s="71"/>
      <c r="AU142" s="71"/>
      <c r="AV142" s="71"/>
      <c r="AW142" s="71"/>
      <c r="AX142" s="71"/>
      <c r="AY142" s="71"/>
      <c r="AZ142" s="71"/>
      <c r="BA142" s="71"/>
      <c r="BB142" s="71"/>
      <c r="BC142" s="71"/>
      <c r="BD142" s="71"/>
      <c r="BE142" s="71"/>
      <c r="BF142" s="71"/>
      <c r="BG142" s="71"/>
      <c r="BH142" s="71"/>
      <c r="BI142" s="71"/>
    </row>
    <row r="143" spans="1:61" x14ac:dyDescent="0.2">
      <c r="A143" s="73"/>
      <c r="B143" s="73"/>
      <c r="C143" s="73"/>
      <c r="D143" s="71"/>
      <c r="E143" s="73"/>
      <c r="F143" s="73"/>
      <c r="G143" s="73"/>
      <c r="H143" s="73"/>
      <c r="I143" s="73"/>
      <c r="J143" s="295"/>
      <c r="K143" s="295"/>
      <c r="L143" s="295"/>
      <c r="M143" s="295"/>
      <c r="N143" s="295"/>
      <c r="O143" s="295"/>
      <c r="P143" s="295"/>
      <c r="Q143" s="295"/>
      <c r="R143" s="295"/>
      <c r="S143" s="295"/>
      <c r="T143" s="295"/>
      <c r="U143" s="295"/>
      <c r="V143" s="295"/>
      <c r="W143" s="295"/>
      <c r="X143" s="295"/>
      <c r="Y143" s="295"/>
      <c r="Z143" s="295"/>
      <c r="AA143" s="295"/>
      <c r="AB143" s="295"/>
      <c r="AC143" s="295"/>
      <c r="AD143" s="295"/>
      <c r="AE143" s="295"/>
      <c r="AF143" s="295"/>
      <c r="AG143" s="295"/>
      <c r="AH143" s="295"/>
      <c r="AI143" s="295"/>
      <c r="AJ143" s="295"/>
      <c r="AK143" s="295"/>
      <c r="AL143" s="294"/>
      <c r="AM143" s="294"/>
      <c r="AN143" s="294"/>
      <c r="AO143" s="294"/>
      <c r="AP143" s="294"/>
      <c r="AQ143" s="294"/>
      <c r="AR143" s="294"/>
      <c r="AS143" s="71"/>
      <c r="AT143" s="71"/>
      <c r="AU143" s="71"/>
      <c r="AV143" s="71"/>
      <c r="AW143" s="71"/>
      <c r="AX143" s="71"/>
      <c r="AY143" s="71"/>
      <c r="AZ143" s="71"/>
      <c r="BA143" s="71"/>
      <c r="BB143" s="71"/>
      <c r="BC143" s="71"/>
      <c r="BD143" s="71"/>
      <c r="BE143" s="71"/>
      <c r="BF143" s="71"/>
      <c r="BG143" s="71"/>
      <c r="BH143" s="71"/>
      <c r="BI143" s="71"/>
    </row>
    <row r="144" spans="1:61" x14ac:dyDescent="0.2">
      <c r="A144" s="73"/>
      <c r="B144" s="73"/>
      <c r="C144" s="73"/>
      <c r="D144" s="71"/>
      <c r="E144" s="73"/>
      <c r="F144" s="73"/>
      <c r="G144" s="73"/>
      <c r="H144" s="73"/>
      <c r="I144" s="73"/>
      <c r="J144" s="295"/>
      <c r="K144" s="295"/>
      <c r="L144" s="295"/>
      <c r="M144" s="295"/>
      <c r="N144" s="295"/>
      <c r="O144" s="295"/>
      <c r="P144" s="295"/>
      <c r="Q144" s="295"/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295"/>
      <c r="AD144" s="295"/>
      <c r="AE144" s="295"/>
      <c r="AF144" s="295"/>
      <c r="AG144" s="295"/>
      <c r="AH144" s="295"/>
      <c r="AI144" s="295"/>
      <c r="AJ144" s="295"/>
      <c r="AK144" s="295"/>
      <c r="AL144" s="294"/>
      <c r="AM144" s="294"/>
      <c r="AN144" s="294"/>
      <c r="AO144" s="294"/>
      <c r="AP144" s="294"/>
      <c r="AQ144" s="294"/>
      <c r="AR144" s="294"/>
      <c r="AS144" s="71"/>
      <c r="AT144" s="71"/>
      <c r="AU144" s="71"/>
      <c r="AV144" s="71"/>
      <c r="AW144" s="71"/>
      <c r="AX144" s="71"/>
      <c r="AY144" s="71"/>
      <c r="AZ144" s="71"/>
      <c r="BA144" s="71"/>
      <c r="BB144" s="71"/>
      <c r="BC144" s="71"/>
      <c r="BD144" s="71"/>
      <c r="BE144" s="71"/>
      <c r="BF144" s="71"/>
      <c r="BG144" s="71"/>
      <c r="BH144" s="71"/>
      <c r="BI144" s="71"/>
    </row>
    <row r="145" spans="1:61" x14ac:dyDescent="0.2">
      <c r="A145" s="73"/>
      <c r="B145" s="73"/>
      <c r="C145" s="73"/>
      <c r="D145" s="71"/>
      <c r="E145" s="73"/>
      <c r="F145" s="73"/>
      <c r="G145" s="73"/>
      <c r="H145" s="73"/>
      <c r="I145" s="73"/>
      <c r="J145" s="295"/>
      <c r="K145" s="295"/>
      <c r="L145" s="295"/>
      <c r="M145" s="295"/>
      <c r="N145" s="295"/>
      <c r="O145" s="295"/>
      <c r="P145" s="295"/>
      <c r="Q145" s="295"/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295"/>
      <c r="AD145" s="295"/>
      <c r="AE145" s="295"/>
      <c r="AF145" s="295"/>
      <c r="AG145" s="295"/>
      <c r="AH145" s="295"/>
      <c r="AI145" s="295"/>
      <c r="AJ145" s="295"/>
      <c r="AK145" s="295"/>
      <c r="AL145" s="294"/>
      <c r="AM145" s="294"/>
      <c r="AN145" s="294"/>
      <c r="AO145" s="294"/>
      <c r="AP145" s="294"/>
      <c r="AQ145" s="294"/>
      <c r="AR145" s="294"/>
      <c r="AS145" s="71"/>
      <c r="AT145" s="71"/>
      <c r="AU145" s="71"/>
      <c r="AV145" s="71"/>
      <c r="AW145" s="71"/>
      <c r="AX145" s="71"/>
      <c r="AY145" s="71"/>
      <c r="AZ145" s="71"/>
      <c r="BA145" s="71"/>
      <c r="BB145" s="71"/>
      <c r="BC145" s="71"/>
      <c r="BD145" s="71"/>
      <c r="BE145" s="71"/>
      <c r="BF145" s="71"/>
      <c r="BG145" s="71"/>
      <c r="BH145" s="71"/>
      <c r="BI145" s="71"/>
    </row>
    <row r="146" spans="1:61" x14ac:dyDescent="0.2">
      <c r="A146" s="73"/>
      <c r="B146" s="73"/>
      <c r="C146" s="73"/>
      <c r="D146" s="71"/>
      <c r="E146" s="73"/>
      <c r="F146" s="73"/>
      <c r="G146" s="73"/>
      <c r="H146" s="73"/>
      <c r="I146" s="73"/>
      <c r="J146" s="295"/>
      <c r="K146" s="295"/>
      <c r="L146" s="295"/>
      <c r="M146" s="295"/>
      <c r="N146" s="295"/>
      <c r="O146" s="295"/>
      <c r="P146" s="295"/>
      <c r="Q146" s="295"/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295"/>
      <c r="AD146" s="295"/>
      <c r="AE146" s="295"/>
      <c r="AF146" s="295"/>
      <c r="AG146" s="295"/>
      <c r="AH146" s="295"/>
      <c r="AI146" s="295"/>
      <c r="AJ146" s="295"/>
      <c r="AK146" s="295"/>
      <c r="AL146" s="294"/>
      <c r="AM146" s="294"/>
      <c r="AN146" s="294"/>
      <c r="AO146" s="294"/>
      <c r="AP146" s="294"/>
      <c r="AQ146" s="294"/>
      <c r="AR146" s="294"/>
      <c r="AS146" s="71"/>
      <c r="AT146" s="71"/>
      <c r="AU146" s="71"/>
      <c r="AV146" s="71"/>
      <c r="AW146" s="71"/>
      <c r="AX146" s="71"/>
      <c r="AY146" s="71"/>
      <c r="AZ146" s="71"/>
      <c r="BA146" s="71"/>
      <c r="BB146" s="71"/>
      <c r="BC146" s="71"/>
      <c r="BD146" s="71"/>
      <c r="BE146" s="71"/>
      <c r="BF146" s="71"/>
      <c r="BG146" s="71"/>
      <c r="BH146" s="71"/>
      <c r="BI146" s="71"/>
    </row>
    <row r="147" spans="1:61" x14ac:dyDescent="0.2">
      <c r="A147" s="73"/>
      <c r="B147" s="73"/>
      <c r="C147" s="73"/>
      <c r="D147" s="71"/>
      <c r="E147" s="73"/>
      <c r="F147" s="73"/>
      <c r="G147" s="73"/>
      <c r="H147" s="73"/>
      <c r="I147" s="73"/>
      <c r="J147" s="295"/>
      <c r="K147" s="295"/>
      <c r="L147" s="295"/>
      <c r="M147" s="295"/>
      <c r="N147" s="295"/>
      <c r="O147" s="295"/>
      <c r="P147" s="295"/>
      <c r="Q147" s="295"/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295"/>
      <c r="AD147" s="295"/>
      <c r="AE147" s="295"/>
      <c r="AF147" s="295"/>
      <c r="AG147" s="295"/>
      <c r="AH147" s="295"/>
      <c r="AI147" s="295"/>
      <c r="AJ147" s="295"/>
      <c r="AK147" s="295"/>
      <c r="AL147" s="294"/>
      <c r="AM147" s="294"/>
      <c r="AN147" s="294"/>
      <c r="AO147" s="294"/>
      <c r="AP147" s="294"/>
      <c r="AQ147" s="294"/>
      <c r="AR147" s="294"/>
      <c r="AS147" s="71"/>
      <c r="AT147" s="71"/>
      <c r="AU147" s="71"/>
      <c r="AV147" s="71"/>
      <c r="AW147" s="71"/>
      <c r="AX147" s="71"/>
      <c r="AY147" s="71"/>
      <c r="AZ147" s="71"/>
      <c r="BA147" s="71"/>
      <c r="BB147" s="71"/>
      <c r="BC147" s="71"/>
      <c r="BD147" s="71"/>
      <c r="BE147" s="71"/>
      <c r="BF147" s="71"/>
      <c r="BG147" s="71"/>
      <c r="BH147" s="71"/>
      <c r="BI147" s="71"/>
    </row>
    <row r="148" spans="1:61" x14ac:dyDescent="0.2">
      <c r="A148" s="73"/>
      <c r="B148" s="73"/>
      <c r="C148" s="73"/>
      <c r="D148" s="71"/>
      <c r="E148" s="73"/>
      <c r="F148" s="73"/>
      <c r="G148" s="73"/>
      <c r="H148" s="73"/>
      <c r="I148" s="73"/>
      <c r="J148" s="295"/>
      <c r="K148" s="295"/>
      <c r="L148" s="295"/>
      <c r="M148" s="295"/>
      <c r="N148" s="295"/>
      <c r="O148" s="295"/>
      <c r="P148" s="295"/>
      <c r="Q148" s="295"/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295"/>
      <c r="AD148" s="295"/>
      <c r="AE148" s="295"/>
      <c r="AF148" s="295"/>
      <c r="AG148" s="295"/>
      <c r="AH148" s="295"/>
      <c r="AI148" s="295"/>
      <c r="AJ148" s="295"/>
      <c r="AK148" s="295"/>
      <c r="AL148" s="294"/>
      <c r="AM148" s="294"/>
      <c r="AN148" s="294"/>
      <c r="AO148" s="294"/>
      <c r="AP148" s="294"/>
      <c r="AQ148" s="294"/>
      <c r="AR148" s="294"/>
      <c r="AS148" s="71"/>
      <c r="AT148" s="71"/>
      <c r="AU148" s="71"/>
      <c r="AV148" s="71"/>
      <c r="AW148" s="71"/>
      <c r="AX148" s="71"/>
      <c r="AY148" s="71"/>
      <c r="AZ148" s="71"/>
      <c r="BA148" s="71"/>
      <c r="BB148" s="71"/>
      <c r="BC148" s="71"/>
      <c r="BD148" s="71"/>
      <c r="BE148" s="71"/>
      <c r="BF148" s="71"/>
      <c r="BG148" s="71"/>
      <c r="BH148" s="71"/>
      <c r="BI148" s="71"/>
    </row>
    <row r="149" spans="1:61" x14ac:dyDescent="0.2">
      <c r="A149" s="73"/>
      <c r="B149" s="73"/>
      <c r="C149" s="73"/>
      <c r="D149" s="71"/>
      <c r="E149" s="73"/>
      <c r="F149" s="73"/>
      <c r="G149" s="73"/>
      <c r="H149" s="73"/>
      <c r="I149" s="73"/>
      <c r="J149" s="295"/>
      <c r="K149" s="295"/>
      <c r="L149" s="295"/>
      <c r="M149" s="295"/>
      <c r="N149" s="295"/>
      <c r="O149" s="295"/>
      <c r="P149" s="295"/>
      <c r="Q149" s="295"/>
      <c r="R149" s="295"/>
      <c r="S149" s="295"/>
      <c r="T149" s="295"/>
      <c r="U149" s="295"/>
      <c r="V149" s="295"/>
      <c r="W149" s="295"/>
      <c r="X149" s="295"/>
      <c r="Y149" s="295"/>
      <c r="Z149" s="295"/>
      <c r="AA149" s="295"/>
      <c r="AB149" s="295"/>
      <c r="AC149" s="295"/>
      <c r="AD149" s="295"/>
      <c r="AE149" s="295"/>
      <c r="AF149" s="295"/>
      <c r="AG149" s="295"/>
      <c r="AH149" s="295"/>
      <c r="AI149" s="295"/>
      <c r="AJ149" s="295"/>
      <c r="AK149" s="295"/>
      <c r="AL149" s="294"/>
      <c r="AM149" s="294"/>
      <c r="AN149" s="294"/>
      <c r="AO149" s="294"/>
      <c r="AP149" s="294"/>
      <c r="AQ149" s="294"/>
      <c r="AR149" s="294"/>
      <c r="AS149" s="71"/>
      <c r="AT149" s="71"/>
      <c r="AU149" s="71"/>
      <c r="AV149" s="71"/>
      <c r="AW149" s="71"/>
      <c r="AX149" s="71"/>
      <c r="AY149" s="71"/>
      <c r="AZ149" s="71"/>
      <c r="BA149" s="71"/>
      <c r="BB149" s="71"/>
      <c r="BC149" s="71"/>
      <c r="BD149" s="71"/>
      <c r="BE149" s="71"/>
      <c r="BF149" s="71"/>
      <c r="BG149" s="71"/>
      <c r="BH149" s="71"/>
      <c r="BI149" s="71"/>
    </row>
    <row r="150" spans="1:61" x14ac:dyDescent="0.2">
      <c r="A150" s="73"/>
      <c r="B150" s="73"/>
      <c r="C150" s="73"/>
      <c r="D150" s="71"/>
      <c r="E150" s="73"/>
      <c r="F150" s="73"/>
      <c r="G150" s="73"/>
      <c r="H150" s="73"/>
      <c r="I150" s="73"/>
      <c r="J150" s="295"/>
      <c r="K150" s="295"/>
      <c r="L150" s="295"/>
      <c r="M150" s="295"/>
      <c r="N150" s="295"/>
      <c r="O150" s="295"/>
      <c r="P150" s="295"/>
      <c r="Q150" s="295"/>
      <c r="R150" s="295"/>
      <c r="S150" s="295"/>
      <c r="T150" s="295"/>
      <c r="U150" s="295"/>
      <c r="V150" s="295"/>
      <c r="W150" s="295"/>
      <c r="X150" s="295"/>
      <c r="Y150" s="295"/>
      <c r="Z150" s="295"/>
      <c r="AA150" s="295"/>
      <c r="AB150" s="295"/>
      <c r="AC150" s="295"/>
      <c r="AD150" s="295"/>
      <c r="AE150" s="295"/>
      <c r="AF150" s="295"/>
      <c r="AG150" s="295"/>
      <c r="AH150" s="295"/>
      <c r="AI150" s="295"/>
      <c r="AJ150" s="295"/>
      <c r="AK150" s="295"/>
      <c r="AL150" s="294"/>
      <c r="AM150" s="294"/>
      <c r="AN150" s="294"/>
      <c r="AO150" s="294"/>
      <c r="AP150" s="294"/>
      <c r="AQ150" s="294"/>
      <c r="AR150" s="294"/>
      <c r="AS150" s="71"/>
      <c r="AT150" s="71"/>
      <c r="AU150" s="71"/>
      <c r="AV150" s="71"/>
      <c r="AW150" s="71"/>
      <c r="AX150" s="71"/>
      <c r="AY150" s="71"/>
      <c r="AZ150" s="71"/>
      <c r="BA150" s="71"/>
      <c r="BB150" s="71"/>
      <c r="BC150" s="71"/>
      <c r="BD150" s="71"/>
      <c r="BE150" s="71"/>
      <c r="BF150" s="71"/>
      <c r="BG150" s="71"/>
      <c r="BH150" s="71"/>
      <c r="BI150" s="71"/>
    </row>
    <row r="151" spans="1:61" x14ac:dyDescent="0.2">
      <c r="A151" s="73"/>
      <c r="B151" s="73"/>
      <c r="C151" s="73"/>
      <c r="D151" s="71"/>
      <c r="E151" s="73"/>
      <c r="F151" s="73"/>
      <c r="G151" s="73"/>
      <c r="H151" s="73"/>
      <c r="I151" s="73"/>
      <c r="J151" s="295"/>
      <c r="K151" s="295"/>
      <c r="L151" s="295"/>
      <c r="M151" s="295"/>
      <c r="N151" s="295"/>
      <c r="O151" s="295"/>
      <c r="P151" s="295"/>
      <c r="Q151" s="295"/>
      <c r="R151" s="295"/>
      <c r="S151" s="295"/>
      <c r="T151" s="295"/>
      <c r="U151" s="295"/>
      <c r="V151" s="295"/>
      <c r="W151" s="295"/>
      <c r="X151" s="295"/>
      <c r="Y151" s="295"/>
      <c r="Z151" s="295"/>
      <c r="AA151" s="295"/>
      <c r="AB151" s="295"/>
      <c r="AC151" s="295"/>
      <c r="AD151" s="295"/>
      <c r="AE151" s="295"/>
      <c r="AF151" s="295"/>
      <c r="AG151" s="295"/>
      <c r="AH151" s="295"/>
      <c r="AI151" s="295"/>
      <c r="AJ151" s="295"/>
      <c r="AK151" s="295"/>
      <c r="AL151" s="294"/>
      <c r="AM151" s="294"/>
      <c r="AN151" s="294"/>
      <c r="AO151" s="294"/>
      <c r="AP151" s="294"/>
      <c r="AQ151" s="294"/>
      <c r="AR151" s="294"/>
      <c r="AS151" s="71"/>
      <c r="AT151" s="71"/>
      <c r="AU151" s="71"/>
      <c r="AV151" s="71"/>
      <c r="AW151" s="71"/>
      <c r="AX151" s="71"/>
      <c r="AY151" s="71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/>
    </row>
    <row r="152" spans="1:61" x14ac:dyDescent="0.2">
      <c r="A152" s="73"/>
      <c r="B152" s="73"/>
      <c r="C152" s="73"/>
      <c r="D152" s="71"/>
      <c r="E152" s="73"/>
      <c r="F152" s="73"/>
      <c r="G152" s="73"/>
      <c r="H152" s="73"/>
      <c r="I152" s="73"/>
      <c r="J152" s="295"/>
      <c r="K152" s="295"/>
      <c r="L152" s="295"/>
      <c r="M152" s="295"/>
      <c r="N152" s="295"/>
      <c r="O152" s="295"/>
      <c r="P152" s="295"/>
      <c r="Q152" s="295"/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295"/>
      <c r="AD152" s="295"/>
      <c r="AE152" s="295"/>
      <c r="AF152" s="295"/>
      <c r="AG152" s="295"/>
      <c r="AH152" s="295"/>
      <c r="AI152" s="295"/>
      <c r="AJ152" s="295"/>
      <c r="AK152" s="295"/>
      <c r="AL152" s="294"/>
      <c r="AM152" s="294"/>
      <c r="AN152" s="294"/>
      <c r="AO152" s="294"/>
      <c r="AP152" s="294"/>
      <c r="AQ152" s="294"/>
      <c r="AR152" s="294"/>
      <c r="AS152" s="71"/>
      <c r="AT152" s="71"/>
      <c r="AU152" s="71"/>
      <c r="AV152" s="71"/>
      <c r="AW152" s="71"/>
      <c r="AX152" s="71"/>
      <c r="AY152" s="71"/>
      <c r="AZ152" s="71"/>
      <c r="BA152" s="71"/>
      <c r="BB152" s="71"/>
      <c r="BC152" s="71"/>
      <c r="BD152" s="71"/>
      <c r="BE152" s="71"/>
      <c r="BF152" s="71"/>
      <c r="BG152" s="71"/>
      <c r="BH152" s="71"/>
      <c r="BI152" s="71"/>
    </row>
    <row r="153" spans="1:61" x14ac:dyDescent="0.2">
      <c r="A153" s="73"/>
      <c r="B153" s="73"/>
      <c r="C153" s="73"/>
      <c r="D153" s="71"/>
      <c r="E153" s="73"/>
      <c r="F153" s="73"/>
      <c r="G153" s="73"/>
      <c r="H153" s="73"/>
      <c r="I153" s="73"/>
      <c r="J153" s="295"/>
      <c r="K153" s="295"/>
      <c r="L153" s="295"/>
      <c r="M153" s="295"/>
      <c r="N153" s="295"/>
      <c r="O153" s="295"/>
      <c r="P153" s="295"/>
      <c r="Q153" s="295"/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295"/>
      <c r="AD153" s="295"/>
      <c r="AE153" s="295"/>
      <c r="AF153" s="295"/>
      <c r="AG153" s="295"/>
      <c r="AH153" s="295"/>
      <c r="AI153" s="295"/>
      <c r="AJ153" s="295"/>
      <c r="AK153" s="295"/>
      <c r="AL153" s="294"/>
      <c r="AM153" s="294"/>
      <c r="AN153" s="294"/>
      <c r="AO153" s="294"/>
      <c r="AP153" s="294"/>
      <c r="AQ153" s="294"/>
      <c r="AR153" s="294"/>
      <c r="AS153" s="71"/>
      <c r="AT153" s="71"/>
      <c r="AU153" s="71"/>
      <c r="AV153" s="71"/>
      <c r="AW153" s="71"/>
      <c r="AX153" s="71"/>
      <c r="AY153" s="71"/>
      <c r="AZ153" s="71"/>
      <c r="BA153" s="71"/>
      <c r="BB153" s="71"/>
      <c r="BC153" s="71"/>
      <c r="BD153" s="71"/>
      <c r="BE153" s="71"/>
      <c r="BF153" s="71"/>
      <c r="BG153" s="71"/>
      <c r="BH153" s="71"/>
      <c r="BI153" s="71"/>
    </row>
    <row r="154" spans="1:61" x14ac:dyDescent="0.2">
      <c r="A154" s="73"/>
      <c r="B154" s="73"/>
      <c r="C154" s="73"/>
      <c r="D154" s="71"/>
      <c r="E154" s="73"/>
      <c r="F154" s="73"/>
      <c r="G154" s="73"/>
      <c r="H154" s="73"/>
      <c r="I154" s="73"/>
      <c r="J154" s="295"/>
      <c r="K154" s="295"/>
      <c r="L154" s="295"/>
      <c r="M154" s="295"/>
      <c r="N154" s="295"/>
      <c r="O154" s="295"/>
      <c r="P154" s="295"/>
      <c r="Q154" s="295"/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295"/>
      <c r="AD154" s="295"/>
      <c r="AE154" s="295"/>
      <c r="AF154" s="295"/>
      <c r="AG154" s="295"/>
      <c r="AH154" s="295"/>
      <c r="AI154" s="295"/>
      <c r="AJ154" s="295"/>
      <c r="AK154" s="295"/>
      <c r="AL154" s="294"/>
      <c r="AM154" s="294"/>
      <c r="AN154" s="294"/>
      <c r="AO154" s="294"/>
      <c r="AP154" s="294"/>
      <c r="AQ154" s="294"/>
      <c r="AR154" s="294"/>
      <c r="AS154" s="71"/>
      <c r="AT154" s="71"/>
      <c r="AU154" s="71"/>
      <c r="AV154" s="71"/>
      <c r="AW154" s="71"/>
      <c r="AX154" s="71"/>
      <c r="AY154" s="71"/>
      <c r="AZ154" s="71"/>
      <c r="BA154" s="71"/>
      <c r="BB154" s="71"/>
      <c r="BC154" s="71"/>
      <c r="BD154" s="71"/>
      <c r="BE154" s="71"/>
      <c r="BF154" s="71"/>
      <c r="BG154" s="71"/>
      <c r="BH154" s="71"/>
      <c r="BI154" s="71"/>
    </row>
    <row r="155" spans="1:61" x14ac:dyDescent="0.2">
      <c r="A155" s="73"/>
      <c r="B155" s="73"/>
      <c r="C155" s="73"/>
      <c r="D155" s="71"/>
      <c r="E155" s="73"/>
      <c r="F155" s="73"/>
      <c r="G155" s="73"/>
      <c r="H155" s="73"/>
      <c r="I155" s="73"/>
      <c r="J155" s="295"/>
      <c r="K155" s="295"/>
      <c r="L155" s="295"/>
      <c r="M155" s="295"/>
      <c r="N155" s="295"/>
      <c r="O155" s="295"/>
      <c r="P155" s="295"/>
      <c r="Q155" s="295"/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295"/>
      <c r="AD155" s="295"/>
      <c r="AE155" s="295"/>
      <c r="AF155" s="295"/>
      <c r="AG155" s="295"/>
      <c r="AH155" s="295"/>
      <c r="AI155" s="295"/>
      <c r="AJ155" s="295"/>
      <c r="AK155" s="295"/>
      <c r="AL155" s="294"/>
      <c r="AM155" s="294"/>
      <c r="AN155" s="294"/>
      <c r="AO155" s="294"/>
      <c r="AP155" s="294"/>
      <c r="AQ155" s="294"/>
      <c r="AR155" s="294"/>
      <c r="AS155" s="71"/>
      <c r="AT155" s="71"/>
      <c r="AU155" s="71"/>
      <c r="AV155" s="71"/>
      <c r="AW155" s="71"/>
      <c r="AX155" s="71"/>
      <c r="AY155" s="71"/>
      <c r="AZ155" s="71"/>
      <c r="BA155" s="71"/>
      <c r="BB155" s="71"/>
      <c r="BC155" s="71"/>
      <c r="BD155" s="71"/>
      <c r="BE155" s="71"/>
      <c r="BF155" s="71"/>
      <c r="BG155" s="71"/>
      <c r="BH155" s="71"/>
      <c r="BI155" s="71"/>
    </row>
    <row r="156" spans="1:61" x14ac:dyDescent="0.2">
      <c r="A156" s="73"/>
      <c r="B156" s="73"/>
      <c r="C156" s="73"/>
      <c r="D156" s="71"/>
      <c r="E156" s="73"/>
      <c r="F156" s="73"/>
      <c r="G156" s="73"/>
      <c r="H156" s="73"/>
      <c r="I156" s="73"/>
      <c r="J156" s="295"/>
      <c r="K156" s="295"/>
      <c r="L156" s="295"/>
      <c r="M156" s="295"/>
      <c r="N156" s="295"/>
      <c r="O156" s="295"/>
      <c r="P156" s="295"/>
      <c r="Q156" s="295"/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295"/>
      <c r="AD156" s="295"/>
      <c r="AE156" s="295"/>
      <c r="AF156" s="295"/>
      <c r="AG156" s="295"/>
      <c r="AH156" s="295"/>
      <c r="AI156" s="295"/>
      <c r="AJ156" s="295"/>
      <c r="AK156" s="295"/>
      <c r="AL156" s="294"/>
      <c r="AM156" s="294"/>
      <c r="AN156" s="294"/>
      <c r="AO156" s="294"/>
      <c r="AP156" s="294"/>
      <c r="AQ156" s="294"/>
      <c r="AR156" s="294"/>
      <c r="AS156" s="71"/>
      <c r="AT156" s="71"/>
      <c r="AU156" s="71"/>
      <c r="AV156" s="71"/>
      <c r="AW156" s="71"/>
      <c r="AX156" s="71"/>
      <c r="AY156" s="71"/>
      <c r="AZ156" s="71"/>
      <c r="BA156" s="71"/>
      <c r="BB156" s="71"/>
      <c r="BC156" s="71"/>
      <c r="BD156" s="71"/>
      <c r="BE156" s="71"/>
      <c r="BF156" s="71"/>
      <c r="BG156" s="71"/>
      <c r="BH156" s="71"/>
      <c r="BI156" s="71"/>
    </row>
    <row r="157" spans="1:61" x14ac:dyDescent="0.2">
      <c r="A157" s="73"/>
      <c r="B157" s="73"/>
      <c r="C157" s="73"/>
      <c r="D157" s="71"/>
      <c r="E157" s="73"/>
      <c r="F157" s="73"/>
      <c r="G157" s="73"/>
      <c r="H157" s="73"/>
      <c r="I157" s="73"/>
      <c r="J157" s="295"/>
      <c r="K157" s="295"/>
      <c r="L157" s="295"/>
      <c r="M157" s="295"/>
      <c r="N157" s="295"/>
      <c r="O157" s="295"/>
      <c r="P157" s="295"/>
      <c r="Q157" s="295"/>
      <c r="R157" s="295"/>
      <c r="S157" s="295"/>
      <c r="T157" s="295"/>
      <c r="U157" s="295"/>
      <c r="V157" s="295"/>
      <c r="W157" s="295"/>
      <c r="X157" s="295"/>
      <c r="Y157" s="295"/>
      <c r="Z157" s="295"/>
      <c r="AA157" s="295"/>
      <c r="AB157" s="295"/>
      <c r="AC157" s="295"/>
      <c r="AD157" s="295"/>
      <c r="AE157" s="295"/>
      <c r="AF157" s="295"/>
      <c r="AG157" s="295"/>
      <c r="AH157" s="295"/>
      <c r="AI157" s="295"/>
      <c r="AJ157" s="295"/>
      <c r="AK157" s="295"/>
      <c r="AL157" s="294"/>
      <c r="AM157" s="294"/>
      <c r="AN157" s="294"/>
      <c r="AO157" s="294"/>
      <c r="AP157" s="294"/>
      <c r="AQ157" s="294"/>
      <c r="AR157" s="294"/>
      <c r="AS157" s="71"/>
      <c r="AT157" s="71"/>
      <c r="AU157" s="71"/>
      <c r="AV157" s="71"/>
      <c r="AW157" s="71"/>
      <c r="AX157" s="71"/>
      <c r="AY157" s="71"/>
      <c r="AZ157" s="71"/>
      <c r="BA157" s="71"/>
      <c r="BB157" s="71"/>
      <c r="BC157" s="71"/>
      <c r="BD157" s="71"/>
      <c r="BE157" s="71"/>
      <c r="BF157" s="71"/>
      <c r="BG157" s="71"/>
      <c r="BH157" s="71"/>
      <c r="BI157" s="71"/>
    </row>
    <row r="158" spans="1:61" x14ac:dyDescent="0.2">
      <c r="A158" s="73"/>
      <c r="B158" s="73"/>
      <c r="C158" s="73"/>
      <c r="D158" s="71"/>
      <c r="E158" s="73"/>
      <c r="F158" s="73"/>
      <c r="G158" s="73"/>
      <c r="H158" s="73"/>
      <c r="I158" s="73"/>
      <c r="J158" s="295"/>
      <c r="K158" s="295"/>
      <c r="L158" s="295"/>
      <c r="M158" s="295"/>
      <c r="N158" s="295"/>
      <c r="O158" s="295"/>
      <c r="P158" s="295"/>
      <c r="Q158" s="295"/>
      <c r="R158" s="295"/>
      <c r="S158" s="295"/>
      <c r="T158" s="295"/>
      <c r="U158" s="295"/>
      <c r="V158" s="295"/>
      <c r="W158" s="295"/>
      <c r="X158" s="295"/>
      <c r="Y158" s="295"/>
      <c r="Z158" s="295"/>
      <c r="AA158" s="295"/>
      <c r="AB158" s="295"/>
      <c r="AC158" s="295"/>
      <c r="AD158" s="295"/>
      <c r="AE158" s="295"/>
      <c r="AF158" s="295"/>
      <c r="AG158" s="295"/>
      <c r="AH158" s="295"/>
      <c r="AI158" s="295"/>
      <c r="AJ158" s="295"/>
      <c r="AK158" s="295"/>
      <c r="AL158" s="294"/>
      <c r="AM158" s="294"/>
      <c r="AN158" s="294"/>
      <c r="AO158" s="294"/>
      <c r="AP158" s="294"/>
      <c r="AQ158" s="294"/>
      <c r="AR158" s="294"/>
      <c r="AS158" s="71"/>
      <c r="AT158" s="71"/>
      <c r="AU158" s="71"/>
      <c r="AV158" s="71"/>
      <c r="AW158" s="71"/>
      <c r="AX158" s="71"/>
      <c r="AY158" s="71"/>
      <c r="AZ158" s="71"/>
      <c r="BA158" s="71"/>
      <c r="BB158" s="71"/>
      <c r="BC158" s="71"/>
      <c r="BD158" s="71"/>
      <c r="BE158" s="71"/>
      <c r="BF158" s="71"/>
      <c r="BG158" s="71"/>
      <c r="BH158" s="71"/>
      <c r="BI158" s="71"/>
    </row>
    <row r="159" spans="1:61" x14ac:dyDescent="0.2">
      <c r="A159" s="73"/>
      <c r="B159" s="73"/>
      <c r="C159" s="73"/>
      <c r="D159" s="71"/>
      <c r="E159" s="73"/>
      <c r="F159" s="73"/>
      <c r="G159" s="73"/>
      <c r="H159" s="73"/>
      <c r="I159" s="73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5"/>
      <c r="AC159" s="295"/>
      <c r="AD159" s="295"/>
      <c r="AE159" s="295"/>
      <c r="AF159" s="295"/>
      <c r="AG159" s="295"/>
      <c r="AH159" s="295"/>
      <c r="AI159" s="295"/>
      <c r="AJ159" s="295"/>
      <c r="AK159" s="295"/>
      <c r="AL159" s="294"/>
      <c r="AM159" s="294"/>
      <c r="AN159" s="294"/>
      <c r="AO159" s="294"/>
      <c r="AP159" s="294"/>
      <c r="AQ159" s="294"/>
      <c r="AR159" s="294"/>
      <c r="AS159" s="71"/>
      <c r="AT159" s="71"/>
      <c r="AU159" s="71"/>
      <c r="AV159" s="71"/>
      <c r="AW159" s="71"/>
      <c r="AX159" s="71"/>
      <c r="AY159" s="71"/>
      <c r="AZ159" s="71"/>
      <c r="BA159" s="71"/>
      <c r="BB159" s="71"/>
      <c r="BC159" s="71"/>
      <c r="BD159" s="71"/>
      <c r="BE159" s="71"/>
      <c r="BF159" s="71"/>
      <c r="BG159" s="71"/>
      <c r="BH159" s="71"/>
      <c r="BI159" s="71"/>
    </row>
    <row r="160" spans="1:61" x14ac:dyDescent="0.2">
      <c r="A160" s="73"/>
      <c r="B160" s="73"/>
      <c r="C160" s="73"/>
      <c r="D160" s="71"/>
      <c r="E160" s="73"/>
      <c r="F160" s="73"/>
      <c r="G160" s="73"/>
      <c r="H160" s="73"/>
      <c r="I160" s="73"/>
      <c r="J160" s="295"/>
      <c r="K160" s="295"/>
      <c r="L160" s="295"/>
      <c r="M160" s="295"/>
      <c r="N160" s="295"/>
      <c r="O160" s="295"/>
      <c r="P160" s="295"/>
      <c r="Q160" s="295"/>
      <c r="R160" s="295"/>
      <c r="S160" s="295"/>
      <c r="T160" s="295"/>
      <c r="U160" s="295"/>
      <c r="V160" s="295"/>
      <c r="W160" s="295"/>
      <c r="X160" s="295"/>
      <c r="Y160" s="295"/>
      <c r="Z160" s="295"/>
      <c r="AA160" s="295"/>
      <c r="AB160" s="295"/>
      <c r="AC160" s="295"/>
      <c r="AD160" s="295"/>
      <c r="AE160" s="295"/>
      <c r="AF160" s="295"/>
      <c r="AG160" s="295"/>
      <c r="AH160" s="295"/>
      <c r="AI160" s="295"/>
      <c r="AJ160" s="295"/>
      <c r="AK160" s="295"/>
      <c r="AL160" s="294"/>
      <c r="AM160" s="294"/>
      <c r="AN160" s="294"/>
      <c r="AO160" s="294"/>
      <c r="AP160" s="294"/>
      <c r="AQ160" s="294"/>
      <c r="AR160" s="294"/>
      <c r="AS160" s="71"/>
      <c r="AT160" s="71"/>
      <c r="AU160" s="71"/>
      <c r="AV160" s="71"/>
      <c r="AW160" s="71"/>
      <c r="AX160" s="71"/>
      <c r="AY160" s="71"/>
      <c r="AZ160" s="71"/>
      <c r="BA160" s="71"/>
      <c r="BB160" s="71"/>
      <c r="BC160" s="71"/>
      <c r="BD160" s="71"/>
      <c r="BE160" s="71"/>
      <c r="BF160" s="71"/>
      <c r="BG160" s="71"/>
      <c r="BH160" s="71"/>
      <c r="BI160" s="71"/>
    </row>
    <row r="161" spans="1:61" x14ac:dyDescent="0.2">
      <c r="A161" s="73"/>
      <c r="B161" s="73"/>
      <c r="C161" s="73"/>
      <c r="D161" s="71"/>
      <c r="E161" s="73"/>
      <c r="F161" s="73"/>
      <c r="G161" s="73"/>
      <c r="H161" s="73"/>
      <c r="I161" s="73"/>
      <c r="J161" s="295"/>
      <c r="K161" s="295"/>
      <c r="L161" s="295"/>
      <c r="M161" s="295"/>
      <c r="N161" s="295"/>
      <c r="O161" s="295"/>
      <c r="P161" s="295"/>
      <c r="Q161" s="295"/>
      <c r="R161" s="295"/>
      <c r="S161" s="295"/>
      <c r="T161" s="295"/>
      <c r="U161" s="295"/>
      <c r="V161" s="295"/>
      <c r="W161" s="295"/>
      <c r="X161" s="295"/>
      <c r="Y161" s="295"/>
      <c r="Z161" s="295"/>
      <c r="AA161" s="295"/>
      <c r="AB161" s="295"/>
      <c r="AC161" s="295"/>
      <c r="AD161" s="295"/>
      <c r="AE161" s="295"/>
      <c r="AF161" s="295"/>
      <c r="AG161" s="295"/>
      <c r="AH161" s="295"/>
      <c r="AI161" s="295"/>
      <c r="AJ161" s="295"/>
      <c r="AK161" s="295"/>
      <c r="AL161" s="294"/>
      <c r="AM161" s="294"/>
      <c r="AN161" s="294"/>
      <c r="AO161" s="294"/>
      <c r="AP161" s="294"/>
      <c r="AQ161" s="294"/>
      <c r="AR161" s="294"/>
      <c r="AS161" s="71"/>
      <c r="AT161" s="71"/>
      <c r="AU161" s="71"/>
      <c r="AV161" s="71"/>
      <c r="AW161" s="71"/>
      <c r="AX161" s="71"/>
      <c r="AY161" s="71"/>
      <c r="AZ161" s="71"/>
      <c r="BA161" s="71"/>
      <c r="BB161" s="71"/>
      <c r="BC161" s="71"/>
      <c r="BD161" s="71"/>
      <c r="BE161" s="71"/>
      <c r="BF161" s="71"/>
      <c r="BG161" s="71"/>
      <c r="BH161" s="71"/>
      <c r="BI161" s="71"/>
    </row>
    <row r="162" spans="1:61" x14ac:dyDescent="0.2">
      <c r="A162" s="73"/>
      <c r="B162" s="73"/>
      <c r="C162" s="73"/>
      <c r="D162" s="71"/>
      <c r="E162" s="73"/>
      <c r="F162" s="73"/>
      <c r="G162" s="73"/>
      <c r="H162" s="73"/>
      <c r="I162" s="73"/>
      <c r="J162" s="295"/>
      <c r="K162" s="295"/>
      <c r="L162" s="295"/>
      <c r="M162" s="295"/>
      <c r="N162" s="295"/>
      <c r="O162" s="295"/>
      <c r="P162" s="295"/>
      <c r="Q162" s="295"/>
      <c r="R162" s="295"/>
      <c r="S162" s="295"/>
      <c r="T162" s="295"/>
      <c r="U162" s="295"/>
      <c r="V162" s="295"/>
      <c r="W162" s="295"/>
      <c r="X162" s="295"/>
      <c r="Y162" s="295"/>
      <c r="Z162" s="295"/>
      <c r="AA162" s="295"/>
      <c r="AB162" s="295"/>
      <c r="AC162" s="295"/>
      <c r="AD162" s="295"/>
      <c r="AE162" s="295"/>
      <c r="AF162" s="295"/>
      <c r="AG162" s="295"/>
      <c r="AH162" s="295"/>
      <c r="AI162" s="295"/>
      <c r="AJ162" s="295"/>
      <c r="AK162" s="295"/>
      <c r="AL162" s="294"/>
      <c r="AM162" s="294"/>
      <c r="AN162" s="294"/>
      <c r="AO162" s="294"/>
      <c r="AP162" s="294"/>
      <c r="AQ162" s="294"/>
      <c r="AR162" s="294"/>
      <c r="AS162" s="71"/>
      <c r="AT162" s="71"/>
      <c r="AU162" s="71"/>
      <c r="AV162" s="71"/>
      <c r="AW162" s="71"/>
      <c r="AX162" s="71"/>
      <c r="AY162" s="71"/>
      <c r="AZ162" s="71"/>
      <c r="BA162" s="71"/>
      <c r="BB162" s="71"/>
      <c r="BC162" s="71"/>
      <c r="BD162" s="71"/>
      <c r="BE162" s="71"/>
      <c r="BF162" s="71"/>
      <c r="BG162" s="71"/>
      <c r="BH162" s="71"/>
      <c r="BI162" s="71"/>
    </row>
    <row r="163" spans="1:61" x14ac:dyDescent="0.2">
      <c r="A163" s="73"/>
      <c r="B163" s="73"/>
      <c r="C163" s="73"/>
      <c r="D163" s="71"/>
      <c r="E163" s="73"/>
      <c r="F163" s="73"/>
      <c r="G163" s="73"/>
      <c r="H163" s="73"/>
      <c r="I163" s="73"/>
      <c r="J163" s="295"/>
      <c r="K163" s="295"/>
      <c r="L163" s="295"/>
      <c r="M163" s="295"/>
      <c r="N163" s="295"/>
      <c r="O163" s="295"/>
      <c r="P163" s="295"/>
      <c r="Q163" s="295"/>
      <c r="R163" s="295"/>
      <c r="S163" s="295"/>
      <c r="T163" s="295"/>
      <c r="U163" s="295"/>
      <c r="V163" s="295"/>
      <c r="W163" s="295"/>
      <c r="X163" s="295"/>
      <c r="Y163" s="295"/>
      <c r="Z163" s="295"/>
      <c r="AA163" s="295"/>
      <c r="AB163" s="295"/>
      <c r="AC163" s="295"/>
      <c r="AD163" s="295"/>
      <c r="AE163" s="295"/>
      <c r="AF163" s="295"/>
      <c r="AG163" s="295"/>
      <c r="AH163" s="295"/>
      <c r="AI163" s="295"/>
      <c r="AJ163" s="295"/>
      <c r="AK163" s="295"/>
      <c r="AL163" s="294"/>
      <c r="AM163" s="294"/>
      <c r="AN163" s="294"/>
      <c r="AO163" s="294"/>
      <c r="AP163" s="294"/>
      <c r="AQ163" s="294"/>
      <c r="AR163" s="294"/>
      <c r="AS163" s="71"/>
      <c r="AT163" s="71"/>
      <c r="AU163" s="71"/>
      <c r="AV163" s="71"/>
      <c r="AW163" s="71"/>
      <c r="AX163" s="71"/>
      <c r="AY163" s="71"/>
      <c r="AZ163" s="71"/>
      <c r="BA163" s="71"/>
      <c r="BB163" s="71"/>
      <c r="BC163" s="71"/>
      <c r="BD163" s="71"/>
      <c r="BE163" s="71"/>
      <c r="BF163" s="71"/>
      <c r="BG163" s="71"/>
      <c r="BH163" s="71"/>
      <c r="BI163" s="71"/>
    </row>
    <row r="164" spans="1:61" x14ac:dyDescent="0.2">
      <c r="A164" s="73"/>
      <c r="B164" s="73"/>
      <c r="C164" s="73"/>
      <c r="D164" s="71"/>
      <c r="E164" s="73"/>
      <c r="F164" s="73"/>
      <c r="G164" s="73"/>
      <c r="H164" s="73"/>
      <c r="I164" s="73"/>
      <c r="J164" s="295"/>
      <c r="K164" s="295"/>
      <c r="L164" s="295"/>
      <c r="M164" s="295"/>
      <c r="N164" s="295"/>
      <c r="O164" s="295"/>
      <c r="P164" s="295"/>
      <c r="Q164" s="295"/>
      <c r="R164" s="295"/>
      <c r="S164" s="295"/>
      <c r="T164" s="295"/>
      <c r="U164" s="295"/>
      <c r="V164" s="295"/>
      <c r="W164" s="295"/>
      <c r="X164" s="295"/>
      <c r="Y164" s="295"/>
      <c r="Z164" s="295"/>
      <c r="AA164" s="295"/>
      <c r="AB164" s="295"/>
      <c r="AC164" s="295"/>
      <c r="AD164" s="295"/>
      <c r="AE164" s="295"/>
      <c r="AF164" s="295"/>
      <c r="AG164" s="295"/>
      <c r="AH164" s="295"/>
      <c r="AI164" s="295"/>
      <c r="AJ164" s="295"/>
      <c r="AK164" s="295"/>
      <c r="AL164" s="294"/>
      <c r="AM164" s="294"/>
      <c r="AN164" s="294"/>
      <c r="AO164" s="294"/>
      <c r="AP164" s="294"/>
      <c r="AQ164" s="294"/>
      <c r="AR164" s="294"/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  <c r="BD164" s="71"/>
      <c r="BE164" s="71"/>
      <c r="BF164" s="71"/>
      <c r="BG164" s="71"/>
      <c r="BH164" s="71"/>
      <c r="BI164" s="71"/>
    </row>
    <row r="165" spans="1:61" x14ac:dyDescent="0.2">
      <c r="A165" s="73"/>
      <c r="B165" s="73"/>
      <c r="C165" s="73"/>
      <c r="D165" s="71"/>
      <c r="E165" s="73"/>
      <c r="F165" s="73"/>
      <c r="G165" s="73"/>
      <c r="H165" s="73"/>
      <c r="I165" s="73"/>
      <c r="J165" s="295"/>
      <c r="K165" s="295"/>
      <c r="L165" s="295"/>
      <c r="M165" s="295"/>
      <c r="N165" s="295"/>
      <c r="O165" s="295"/>
      <c r="P165" s="295"/>
      <c r="Q165" s="295"/>
      <c r="R165" s="295"/>
      <c r="S165" s="295"/>
      <c r="T165" s="295"/>
      <c r="U165" s="295"/>
      <c r="V165" s="295"/>
      <c r="W165" s="295"/>
      <c r="X165" s="295"/>
      <c r="Y165" s="295"/>
      <c r="Z165" s="295"/>
      <c r="AA165" s="295"/>
      <c r="AB165" s="295"/>
      <c r="AC165" s="295"/>
      <c r="AD165" s="295"/>
      <c r="AE165" s="295"/>
      <c r="AF165" s="295"/>
      <c r="AG165" s="295"/>
      <c r="AH165" s="295"/>
      <c r="AI165" s="295"/>
      <c r="AJ165" s="295"/>
      <c r="AK165" s="295"/>
      <c r="AL165" s="294"/>
      <c r="AM165" s="294"/>
      <c r="AN165" s="294"/>
      <c r="AO165" s="294"/>
      <c r="AP165" s="294"/>
      <c r="AQ165" s="294"/>
      <c r="AR165" s="294"/>
      <c r="AS165" s="71"/>
      <c r="AT165" s="71"/>
      <c r="AU165" s="71"/>
      <c r="AV165" s="71"/>
      <c r="AW165" s="71"/>
      <c r="AX165" s="71"/>
      <c r="AY165" s="71"/>
      <c r="AZ165" s="71"/>
      <c r="BA165" s="71"/>
      <c r="BB165" s="71"/>
      <c r="BC165" s="71"/>
      <c r="BD165" s="71"/>
      <c r="BE165" s="71"/>
      <c r="BF165" s="71"/>
      <c r="BG165" s="71"/>
      <c r="BH165" s="71"/>
      <c r="BI165" s="71"/>
    </row>
    <row r="166" spans="1:61" x14ac:dyDescent="0.2">
      <c r="A166" s="73"/>
      <c r="B166" s="73"/>
      <c r="C166" s="73"/>
      <c r="D166" s="71"/>
      <c r="E166" s="73"/>
      <c r="F166" s="73"/>
      <c r="G166" s="73"/>
      <c r="H166" s="73"/>
      <c r="I166" s="73"/>
      <c r="J166" s="295"/>
      <c r="K166" s="295"/>
      <c r="L166" s="295"/>
      <c r="M166" s="295"/>
      <c r="N166" s="295"/>
      <c r="O166" s="295"/>
      <c r="P166" s="295"/>
      <c r="Q166" s="295"/>
      <c r="R166" s="295"/>
      <c r="S166" s="295"/>
      <c r="T166" s="295"/>
      <c r="U166" s="295"/>
      <c r="V166" s="295"/>
      <c r="W166" s="295"/>
      <c r="X166" s="295"/>
      <c r="Y166" s="295"/>
      <c r="Z166" s="295"/>
      <c r="AA166" s="295"/>
      <c r="AB166" s="295"/>
      <c r="AC166" s="295"/>
      <c r="AD166" s="295"/>
      <c r="AE166" s="295"/>
      <c r="AF166" s="295"/>
      <c r="AG166" s="295"/>
      <c r="AH166" s="295"/>
      <c r="AI166" s="295"/>
      <c r="AJ166" s="295"/>
      <c r="AK166" s="295"/>
      <c r="AL166" s="294"/>
      <c r="AM166" s="294"/>
      <c r="AN166" s="294"/>
      <c r="AO166" s="294"/>
      <c r="AP166" s="294"/>
      <c r="AQ166" s="294"/>
      <c r="AR166" s="294"/>
      <c r="AS166" s="71"/>
      <c r="AT166" s="71"/>
      <c r="AU166" s="71"/>
      <c r="AV166" s="71"/>
      <c r="AW166" s="71"/>
      <c r="AX166" s="71"/>
      <c r="AY166" s="71"/>
      <c r="AZ166" s="71"/>
      <c r="BA166" s="71"/>
      <c r="BB166" s="71"/>
      <c r="BC166" s="71"/>
      <c r="BD166" s="71"/>
      <c r="BE166" s="71"/>
      <c r="BF166" s="71"/>
      <c r="BG166" s="71"/>
      <c r="BH166" s="71"/>
      <c r="BI166" s="71"/>
    </row>
    <row r="167" spans="1:61" x14ac:dyDescent="0.2">
      <c r="A167" s="73"/>
      <c r="B167" s="73"/>
      <c r="C167" s="73"/>
      <c r="D167" s="71"/>
      <c r="E167" s="73"/>
      <c r="F167" s="73"/>
      <c r="G167" s="73"/>
      <c r="H167" s="73"/>
      <c r="I167" s="73"/>
      <c r="J167" s="295"/>
      <c r="K167" s="295"/>
      <c r="L167" s="295"/>
      <c r="M167" s="295"/>
      <c r="N167" s="295"/>
      <c r="O167" s="295"/>
      <c r="P167" s="295"/>
      <c r="Q167" s="295"/>
      <c r="R167" s="295"/>
      <c r="S167" s="295"/>
      <c r="T167" s="295"/>
      <c r="U167" s="295"/>
      <c r="V167" s="295"/>
      <c r="W167" s="295"/>
      <c r="X167" s="295"/>
      <c r="Y167" s="295"/>
      <c r="Z167" s="295"/>
      <c r="AA167" s="295"/>
      <c r="AB167" s="295"/>
      <c r="AC167" s="295"/>
      <c r="AD167" s="295"/>
      <c r="AE167" s="295"/>
      <c r="AF167" s="295"/>
      <c r="AG167" s="295"/>
      <c r="AH167" s="295"/>
      <c r="AI167" s="295"/>
      <c r="AJ167" s="295"/>
      <c r="AK167" s="295"/>
      <c r="AL167" s="294"/>
      <c r="AM167" s="294"/>
      <c r="AN167" s="294"/>
      <c r="AO167" s="294"/>
      <c r="AP167" s="294"/>
      <c r="AQ167" s="294"/>
      <c r="AR167" s="294"/>
      <c r="AS167" s="71"/>
      <c r="AT167" s="71"/>
      <c r="AU167" s="71"/>
      <c r="AV167" s="71"/>
      <c r="AW167" s="71"/>
      <c r="AX167" s="71"/>
      <c r="AY167" s="71"/>
      <c r="AZ167" s="71"/>
      <c r="BA167" s="71"/>
      <c r="BB167" s="71"/>
      <c r="BC167" s="71"/>
      <c r="BD167" s="71"/>
      <c r="BE167" s="71"/>
      <c r="BF167" s="71"/>
      <c r="BG167" s="71"/>
      <c r="BH167" s="71"/>
      <c r="BI167" s="71"/>
    </row>
    <row r="168" spans="1:61" x14ac:dyDescent="0.2">
      <c r="A168" s="73"/>
      <c r="B168" s="73"/>
      <c r="C168" s="73"/>
      <c r="D168" s="71"/>
      <c r="E168" s="73"/>
      <c r="F168" s="73"/>
      <c r="G168" s="73"/>
      <c r="H168" s="73"/>
      <c r="I168" s="73"/>
      <c r="J168" s="295"/>
      <c r="K168" s="295"/>
      <c r="L168" s="295"/>
      <c r="M168" s="295"/>
      <c r="N168" s="295"/>
      <c r="O168" s="295"/>
      <c r="P168" s="295"/>
      <c r="Q168" s="295"/>
      <c r="R168" s="295"/>
      <c r="S168" s="295"/>
      <c r="T168" s="295"/>
      <c r="U168" s="295"/>
      <c r="V168" s="295"/>
      <c r="W168" s="295"/>
      <c r="X168" s="295"/>
      <c r="Y168" s="295"/>
      <c r="Z168" s="295"/>
      <c r="AA168" s="295"/>
      <c r="AB168" s="295"/>
      <c r="AC168" s="295"/>
      <c r="AD168" s="295"/>
      <c r="AE168" s="295"/>
      <c r="AF168" s="295"/>
      <c r="AG168" s="295"/>
      <c r="AH168" s="295"/>
      <c r="AI168" s="295"/>
      <c r="AJ168" s="295"/>
      <c r="AK168" s="295"/>
      <c r="AL168" s="294"/>
      <c r="AM168" s="294"/>
      <c r="AN168" s="294"/>
      <c r="AO168" s="294"/>
      <c r="AP168" s="294"/>
      <c r="AQ168" s="294"/>
      <c r="AR168" s="294"/>
      <c r="AS168" s="71"/>
      <c r="AT168" s="71"/>
      <c r="AU168" s="71"/>
      <c r="AV168" s="71"/>
      <c r="AW168" s="71"/>
      <c r="AX168" s="71"/>
      <c r="AY168" s="71"/>
      <c r="AZ168" s="71"/>
      <c r="BA168" s="71"/>
      <c r="BB168" s="71"/>
      <c r="BC168" s="71"/>
      <c r="BD168" s="71"/>
      <c r="BE168" s="71"/>
      <c r="BF168" s="71"/>
      <c r="BG168" s="71"/>
      <c r="BH168" s="71"/>
      <c r="BI168" s="71"/>
    </row>
    <row r="169" spans="1:61" x14ac:dyDescent="0.2">
      <c r="A169" s="73"/>
      <c r="B169" s="73"/>
      <c r="C169" s="73"/>
      <c r="D169" s="71"/>
      <c r="E169" s="73"/>
      <c r="F169" s="73"/>
      <c r="G169" s="73"/>
      <c r="H169" s="73"/>
      <c r="I169" s="73"/>
      <c r="J169" s="295"/>
      <c r="K169" s="295"/>
      <c r="L169" s="295"/>
      <c r="M169" s="295"/>
      <c r="N169" s="295"/>
      <c r="O169" s="295"/>
      <c r="P169" s="295"/>
      <c r="Q169" s="295"/>
      <c r="R169" s="295"/>
      <c r="S169" s="295"/>
      <c r="T169" s="295"/>
      <c r="U169" s="295"/>
      <c r="V169" s="295"/>
      <c r="W169" s="295"/>
      <c r="X169" s="295"/>
      <c r="Y169" s="295"/>
      <c r="Z169" s="295"/>
      <c r="AA169" s="295"/>
      <c r="AB169" s="295"/>
      <c r="AC169" s="295"/>
      <c r="AD169" s="295"/>
      <c r="AE169" s="295"/>
      <c r="AF169" s="295"/>
      <c r="AG169" s="295"/>
      <c r="AH169" s="295"/>
      <c r="AI169" s="295"/>
      <c r="AJ169" s="295"/>
      <c r="AK169" s="295"/>
      <c r="AL169" s="294"/>
      <c r="AM169" s="294"/>
      <c r="AN169" s="294"/>
      <c r="AO169" s="294"/>
      <c r="AP169" s="294"/>
      <c r="AQ169" s="294"/>
      <c r="AR169" s="294"/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  <c r="BD169" s="71"/>
      <c r="BE169" s="71"/>
      <c r="BF169" s="71"/>
      <c r="BG169" s="71"/>
      <c r="BH169" s="71"/>
      <c r="BI169" s="71"/>
    </row>
    <row r="170" spans="1:61" x14ac:dyDescent="0.2">
      <c r="A170" s="73"/>
      <c r="B170" s="73"/>
      <c r="C170" s="73"/>
      <c r="D170" s="71"/>
      <c r="E170" s="73"/>
      <c r="F170" s="73"/>
      <c r="G170" s="73"/>
      <c r="H170" s="73"/>
      <c r="I170" s="73"/>
      <c r="J170" s="295"/>
      <c r="K170" s="295"/>
      <c r="L170" s="295"/>
      <c r="M170" s="295"/>
      <c r="N170" s="295"/>
      <c r="O170" s="295"/>
      <c r="P170" s="295"/>
      <c r="Q170" s="295"/>
      <c r="R170" s="295"/>
      <c r="S170" s="295"/>
      <c r="T170" s="295"/>
      <c r="U170" s="295"/>
      <c r="V170" s="295"/>
      <c r="W170" s="295"/>
      <c r="X170" s="295"/>
      <c r="Y170" s="295"/>
      <c r="Z170" s="295"/>
      <c r="AA170" s="295"/>
      <c r="AB170" s="295"/>
      <c r="AC170" s="295"/>
      <c r="AD170" s="295"/>
      <c r="AE170" s="295"/>
      <c r="AF170" s="295"/>
      <c r="AG170" s="295"/>
      <c r="AH170" s="295"/>
      <c r="AI170" s="295"/>
      <c r="AJ170" s="295"/>
      <c r="AK170" s="295"/>
      <c r="AL170" s="294"/>
      <c r="AM170" s="294"/>
      <c r="AN170" s="294"/>
      <c r="AO170" s="294"/>
      <c r="AP170" s="294"/>
      <c r="AQ170" s="294"/>
      <c r="AR170" s="294"/>
      <c r="AS170" s="71"/>
      <c r="AT170" s="71"/>
      <c r="AU170" s="71"/>
      <c r="AV170" s="71"/>
      <c r="AW170" s="71"/>
      <c r="AX170" s="71"/>
      <c r="AY170" s="71"/>
      <c r="AZ170" s="71"/>
      <c r="BA170" s="71"/>
      <c r="BB170" s="71"/>
      <c r="BC170" s="71"/>
      <c r="BD170" s="71"/>
      <c r="BE170" s="71"/>
      <c r="BF170" s="71"/>
      <c r="BG170" s="71"/>
      <c r="BH170" s="71"/>
      <c r="BI170" s="71"/>
    </row>
    <row r="171" spans="1:61" x14ac:dyDescent="0.2">
      <c r="A171" s="73"/>
      <c r="B171" s="73"/>
      <c r="C171" s="73"/>
      <c r="D171" s="71"/>
      <c r="E171" s="73"/>
      <c r="F171" s="73"/>
      <c r="G171" s="73"/>
      <c r="H171" s="73"/>
      <c r="I171" s="73"/>
      <c r="J171" s="295"/>
      <c r="K171" s="295"/>
      <c r="L171" s="295"/>
      <c r="M171" s="295"/>
      <c r="N171" s="295"/>
      <c r="O171" s="295"/>
      <c r="P171" s="295"/>
      <c r="Q171" s="295"/>
      <c r="R171" s="295"/>
      <c r="S171" s="295"/>
      <c r="T171" s="295"/>
      <c r="U171" s="295"/>
      <c r="V171" s="295"/>
      <c r="W171" s="295"/>
      <c r="X171" s="295"/>
      <c r="Y171" s="295"/>
      <c r="Z171" s="295"/>
      <c r="AA171" s="295"/>
      <c r="AB171" s="295"/>
      <c r="AC171" s="295"/>
      <c r="AD171" s="295"/>
      <c r="AE171" s="295"/>
      <c r="AF171" s="295"/>
      <c r="AG171" s="295"/>
      <c r="AH171" s="295"/>
      <c r="AI171" s="295"/>
      <c r="AJ171" s="295"/>
      <c r="AK171" s="295"/>
      <c r="AL171" s="294"/>
      <c r="AM171" s="294"/>
      <c r="AN171" s="294"/>
      <c r="AO171" s="294"/>
      <c r="AP171" s="294"/>
      <c r="AQ171" s="294"/>
      <c r="AR171" s="294"/>
      <c r="AS171" s="71"/>
      <c r="AT171" s="71"/>
      <c r="AU171" s="71"/>
      <c r="AV171" s="71"/>
      <c r="AW171" s="71"/>
      <c r="AX171" s="71"/>
      <c r="AY171" s="71"/>
      <c r="AZ171" s="71"/>
      <c r="BA171" s="71"/>
      <c r="BB171" s="71"/>
      <c r="BC171" s="71"/>
      <c r="BD171" s="71"/>
      <c r="BE171" s="71"/>
      <c r="BF171" s="71"/>
      <c r="BG171" s="71"/>
      <c r="BH171" s="71"/>
      <c r="BI171" s="71"/>
    </row>
    <row r="172" spans="1:61" x14ac:dyDescent="0.2">
      <c r="A172" s="73"/>
      <c r="B172" s="73"/>
      <c r="C172" s="73"/>
      <c r="D172" s="71"/>
      <c r="E172" s="73"/>
      <c r="F172" s="73"/>
      <c r="G172" s="73"/>
      <c r="H172" s="73"/>
      <c r="I172" s="73"/>
      <c r="J172" s="295"/>
      <c r="K172" s="295"/>
      <c r="L172" s="295"/>
      <c r="M172" s="295"/>
      <c r="N172" s="295"/>
      <c r="O172" s="295"/>
      <c r="P172" s="295"/>
      <c r="Q172" s="295"/>
      <c r="R172" s="295"/>
      <c r="S172" s="295"/>
      <c r="T172" s="295"/>
      <c r="U172" s="295"/>
      <c r="V172" s="295"/>
      <c r="W172" s="295"/>
      <c r="X172" s="295"/>
      <c r="Y172" s="295"/>
      <c r="Z172" s="295"/>
      <c r="AA172" s="295"/>
      <c r="AB172" s="295"/>
      <c r="AC172" s="295"/>
      <c r="AD172" s="295"/>
      <c r="AE172" s="295"/>
      <c r="AF172" s="295"/>
      <c r="AG172" s="295"/>
      <c r="AH172" s="295"/>
      <c r="AI172" s="295"/>
      <c r="AJ172" s="295"/>
      <c r="AK172" s="295"/>
      <c r="AL172" s="294"/>
      <c r="AM172" s="294"/>
      <c r="AN172" s="294"/>
      <c r="AO172" s="294"/>
      <c r="AP172" s="294"/>
      <c r="AQ172" s="294"/>
      <c r="AR172" s="294"/>
      <c r="AS172" s="71"/>
      <c r="AT172" s="71"/>
      <c r="AU172" s="71"/>
      <c r="AV172" s="71"/>
      <c r="AW172" s="71"/>
      <c r="AX172" s="71"/>
      <c r="AY172" s="71"/>
      <c r="AZ172" s="71"/>
      <c r="BA172" s="71"/>
      <c r="BB172" s="71"/>
      <c r="BC172" s="71"/>
      <c r="BD172" s="71"/>
      <c r="BE172" s="71"/>
      <c r="BF172" s="71"/>
      <c r="BG172" s="71"/>
      <c r="BH172" s="71"/>
      <c r="BI172" s="71"/>
    </row>
    <row r="173" spans="1:61" x14ac:dyDescent="0.2">
      <c r="A173" s="73"/>
      <c r="B173" s="73"/>
      <c r="C173" s="73"/>
      <c r="D173" s="71"/>
      <c r="E173" s="73"/>
      <c r="F173" s="73"/>
      <c r="G173" s="73"/>
      <c r="H173" s="73"/>
      <c r="I173" s="73"/>
      <c r="J173" s="295"/>
      <c r="K173" s="295"/>
      <c r="L173" s="295"/>
      <c r="M173" s="295"/>
      <c r="N173" s="295"/>
      <c r="O173" s="295"/>
      <c r="P173" s="295"/>
      <c r="Q173" s="295"/>
      <c r="R173" s="295"/>
      <c r="S173" s="295"/>
      <c r="T173" s="295"/>
      <c r="U173" s="295"/>
      <c r="V173" s="295"/>
      <c r="W173" s="295"/>
      <c r="X173" s="295"/>
      <c r="Y173" s="295"/>
      <c r="Z173" s="295"/>
      <c r="AA173" s="295"/>
      <c r="AB173" s="295"/>
      <c r="AC173" s="295"/>
      <c r="AD173" s="295"/>
      <c r="AE173" s="295"/>
      <c r="AF173" s="295"/>
      <c r="AG173" s="295"/>
      <c r="AH173" s="295"/>
      <c r="AI173" s="295"/>
      <c r="AJ173" s="295"/>
      <c r="AK173" s="295"/>
      <c r="AL173" s="294"/>
      <c r="AM173" s="294"/>
      <c r="AN173" s="294"/>
      <c r="AO173" s="294"/>
      <c r="AP173" s="294"/>
      <c r="AQ173" s="294"/>
      <c r="AR173" s="294"/>
      <c r="AS173" s="71"/>
      <c r="AT173" s="71"/>
      <c r="AU173" s="71"/>
      <c r="AV173" s="71"/>
      <c r="AW173" s="71"/>
      <c r="AX173" s="71"/>
      <c r="AY173" s="71"/>
      <c r="AZ173" s="71"/>
      <c r="BA173" s="71"/>
      <c r="BB173" s="71"/>
      <c r="BC173" s="71"/>
      <c r="BD173" s="71"/>
      <c r="BE173" s="71"/>
      <c r="BF173" s="71"/>
      <c r="BG173" s="71"/>
      <c r="BH173" s="71"/>
      <c r="BI173" s="71"/>
    </row>
    <row r="174" spans="1:61" x14ac:dyDescent="0.2">
      <c r="A174" s="73"/>
      <c r="B174" s="73"/>
      <c r="C174" s="73"/>
      <c r="D174" s="71"/>
      <c r="E174" s="73"/>
      <c r="F174" s="73"/>
      <c r="G174" s="73"/>
      <c r="H174" s="73"/>
      <c r="I174" s="73"/>
      <c r="J174" s="295"/>
      <c r="K174" s="295"/>
      <c r="L174" s="295"/>
      <c r="M174" s="295"/>
      <c r="N174" s="295"/>
      <c r="O174" s="295"/>
      <c r="P174" s="295"/>
      <c r="Q174" s="295"/>
      <c r="R174" s="295"/>
      <c r="S174" s="295"/>
      <c r="T174" s="295"/>
      <c r="U174" s="295"/>
      <c r="V174" s="295"/>
      <c r="W174" s="295"/>
      <c r="X174" s="295"/>
      <c r="Y174" s="295"/>
      <c r="Z174" s="295"/>
      <c r="AA174" s="295"/>
      <c r="AB174" s="295"/>
      <c r="AC174" s="295"/>
      <c r="AD174" s="295"/>
      <c r="AE174" s="295"/>
      <c r="AF174" s="295"/>
      <c r="AG174" s="295"/>
      <c r="AH174" s="295"/>
      <c r="AI174" s="295"/>
      <c r="AJ174" s="295"/>
      <c r="AK174" s="295"/>
      <c r="AL174" s="294"/>
      <c r="AM174" s="294"/>
      <c r="AN174" s="294"/>
      <c r="AO174" s="294"/>
      <c r="AP174" s="294"/>
      <c r="AQ174" s="294"/>
      <c r="AR174" s="294"/>
      <c r="AS174" s="71"/>
      <c r="AT174" s="71"/>
      <c r="AU174" s="71"/>
      <c r="AV174" s="71"/>
      <c r="AW174" s="71"/>
      <c r="AX174" s="71"/>
      <c r="AY174" s="71"/>
      <c r="AZ174" s="71"/>
      <c r="BA174" s="71"/>
      <c r="BB174" s="71"/>
      <c r="BC174" s="71"/>
      <c r="BD174" s="71"/>
      <c r="BE174" s="71"/>
      <c r="BF174" s="71"/>
      <c r="BG174" s="71"/>
      <c r="BH174" s="71"/>
      <c r="BI174" s="71"/>
    </row>
    <row r="175" spans="1:61" x14ac:dyDescent="0.2">
      <c r="A175" s="73"/>
      <c r="B175" s="73"/>
      <c r="C175" s="73"/>
      <c r="D175" s="71"/>
      <c r="E175" s="73"/>
      <c r="F175" s="73"/>
      <c r="G175" s="73"/>
      <c r="H175" s="73"/>
      <c r="I175" s="73"/>
      <c r="J175" s="295"/>
      <c r="K175" s="295"/>
      <c r="L175" s="295"/>
      <c r="M175" s="295"/>
      <c r="N175" s="295"/>
      <c r="O175" s="295"/>
      <c r="P175" s="295"/>
      <c r="Q175" s="295"/>
      <c r="R175" s="295"/>
      <c r="S175" s="295"/>
      <c r="T175" s="295"/>
      <c r="U175" s="295"/>
      <c r="V175" s="295"/>
      <c r="W175" s="295"/>
      <c r="X175" s="295"/>
      <c r="Y175" s="295"/>
      <c r="Z175" s="295"/>
      <c r="AA175" s="295"/>
      <c r="AB175" s="295"/>
      <c r="AC175" s="295"/>
      <c r="AD175" s="295"/>
      <c r="AE175" s="295"/>
      <c r="AF175" s="295"/>
      <c r="AG175" s="295"/>
      <c r="AH175" s="295"/>
      <c r="AI175" s="295"/>
      <c r="AJ175" s="295"/>
      <c r="AK175" s="295"/>
      <c r="AL175" s="294"/>
      <c r="AM175" s="294"/>
      <c r="AN175" s="294"/>
      <c r="AO175" s="294"/>
      <c r="AP175" s="294"/>
      <c r="AQ175" s="294"/>
      <c r="AR175" s="294"/>
      <c r="AS175" s="71"/>
      <c r="AT175" s="71"/>
      <c r="AU175" s="71"/>
      <c r="AV175" s="71"/>
      <c r="AW175" s="71"/>
      <c r="AX175" s="71"/>
      <c r="AY175" s="71"/>
      <c r="AZ175" s="71"/>
      <c r="BA175" s="71"/>
      <c r="BB175" s="71"/>
      <c r="BC175" s="71"/>
      <c r="BD175" s="71"/>
      <c r="BE175" s="71"/>
      <c r="BF175" s="71"/>
      <c r="BG175" s="71"/>
      <c r="BH175" s="71"/>
      <c r="BI175" s="71"/>
    </row>
    <row r="176" spans="1:61" x14ac:dyDescent="0.2">
      <c r="A176" s="73"/>
      <c r="B176" s="73"/>
      <c r="C176" s="73"/>
      <c r="D176" s="71"/>
      <c r="E176" s="73"/>
      <c r="F176" s="73"/>
      <c r="G176" s="73"/>
      <c r="H176" s="73"/>
      <c r="I176" s="73"/>
      <c r="J176" s="295"/>
      <c r="K176" s="295"/>
      <c r="L176" s="295"/>
      <c r="M176" s="295"/>
      <c r="N176" s="295"/>
      <c r="O176" s="295"/>
      <c r="P176" s="295"/>
      <c r="Q176" s="295"/>
      <c r="R176" s="295"/>
      <c r="S176" s="295"/>
      <c r="T176" s="295"/>
      <c r="U176" s="295"/>
      <c r="V176" s="295"/>
      <c r="W176" s="295"/>
      <c r="X176" s="295"/>
      <c r="Y176" s="295"/>
      <c r="Z176" s="295"/>
      <c r="AA176" s="295"/>
      <c r="AB176" s="295"/>
      <c r="AC176" s="295"/>
      <c r="AD176" s="295"/>
      <c r="AE176" s="295"/>
      <c r="AF176" s="295"/>
      <c r="AG176" s="295"/>
      <c r="AH176" s="295"/>
      <c r="AI176" s="295"/>
      <c r="AJ176" s="295"/>
      <c r="AK176" s="295"/>
      <c r="AL176" s="294"/>
      <c r="AM176" s="294"/>
      <c r="AN176" s="294"/>
      <c r="AO176" s="294"/>
      <c r="AP176" s="294"/>
      <c r="AQ176" s="294"/>
      <c r="AR176" s="294"/>
      <c r="AS176" s="71"/>
      <c r="AT176" s="71"/>
      <c r="AU176" s="71"/>
      <c r="AV176" s="71"/>
      <c r="AW176" s="71"/>
      <c r="AX176" s="71"/>
      <c r="AY176" s="71"/>
      <c r="AZ176" s="71"/>
      <c r="BA176" s="71"/>
      <c r="BB176" s="71"/>
      <c r="BC176" s="71"/>
      <c r="BD176" s="71"/>
      <c r="BE176" s="71"/>
      <c r="BF176" s="71"/>
      <c r="BG176" s="71"/>
      <c r="BH176" s="71"/>
      <c r="BI176" s="71"/>
    </row>
    <row r="177" spans="1:61" x14ac:dyDescent="0.2">
      <c r="A177" s="73"/>
      <c r="B177" s="73"/>
      <c r="C177" s="73"/>
      <c r="D177" s="71"/>
      <c r="E177" s="73"/>
      <c r="F177" s="73"/>
      <c r="G177" s="73"/>
      <c r="H177" s="73"/>
      <c r="I177" s="73"/>
      <c r="J177" s="295"/>
      <c r="K177" s="295"/>
      <c r="L177" s="295"/>
      <c r="M177" s="295"/>
      <c r="N177" s="295"/>
      <c r="O177" s="295"/>
      <c r="P177" s="295"/>
      <c r="Q177" s="295"/>
      <c r="R177" s="295"/>
      <c r="S177" s="295"/>
      <c r="T177" s="295"/>
      <c r="U177" s="295"/>
      <c r="V177" s="295"/>
      <c r="W177" s="295"/>
      <c r="X177" s="295"/>
      <c r="Y177" s="295"/>
      <c r="Z177" s="295"/>
      <c r="AA177" s="295"/>
      <c r="AB177" s="295"/>
      <c r="AC177" s="295"/>
      <c r="AD177" s="295"/>
      <c r="AE177" s="295"/>
      <c r="AF177" s="295"/>
      <c r="AG177" s="295"/>
      <c r="AH177" s="295"/>
      <c r="AI177" s="295"/>
      <c r="AJ177" s="295"/>
      <c r="AK177" s="295"/>
      <c r="AL177" s="294"/>
      <c r="AM177" s="294"/>
      <c r="AN177" s="294"/>
      <c r="AO177" s="294"/>
      <c r="AP177" s="294"/>
      <c r="AQ177" s="294"/>
      <c r="AR177" s="294"/>
      <c r="AS177" s="71"/>
      <c r="AT177" s="71"/>
      <c r="AU177" s="71"/>
      <c r="AV177" s="71"/>
      <c r="AW177" s="71"/>
      <c r="AX177" s="71"/>
      <c r="AY177" s="71"/>
      <c r="AZ177" s="71"/>
      <c r="BA177" s="71"/>
      <c r="BB177" s="71"/>
      <c r="BC177" s="71"/>
      <c r="BD177" s="71"/>
      <c r="BE177" s="71"/>
      <c r="BF177" s="71"/>
      <c r="BG177" s="71"/>
      <c r="BH177" s="71"/>
      <c r="BI177" s="71"/>
    </row>
    <row r="178" spans="1:61" x14ac:dyDescent="0.2">
      <c r="A178" s="73"/>
      <c r="B178" s="73"/>
      <c r="C178" s="73"/>
      <c r="D178" s="71"/>
      <c r="E178" s="73"/>
      <c r="F178" s="73"/>
      <c r="G178" s="73"/>
      <c r="H178" s="73"/>
      <c r="I178" s="73"/>
      <c r="J178" s="295"/>
      <c r="K178" s="295"/>
      <c r="L178" s="295"/>
      <c r="M178" s="295"/>
      <c r="N178" s="295"/>
      <c r="O178" s="295"/>
      <c r="P178" s="295"/>
      <c r="Q178" s="295"/>
      <c r="R178" s="295"/>
      <c r="S178" s="295"/>
      <c r="T178" s="295"/>
      <c r="U178" s="295"/>
      <c r="V178" s="295"/>
      <c r="W178" s="295"/>
      <c r="X178" s="295"/>
      <c r="Y178" s="295"/>
      <c r="Z178" s="295"/>
      <c r="AA178" s="295"/>
      <c r="AB178" s="295"/>
      <c r="AC178" s="295"/>
      <c r="AD178" s="295"/>
      <c r="AE178" s="295"/>
      <c r="AF178" s="295"/>
      <c r="AG178" s="295"/>
      <c r="AH178" s="295"/>
      <c r="AI178" s="295"/>
      <c r="AJ178" s="295"/>
      <c r="AK178" s="295"/>
      <c r="AL178" s="294"/>
      <c r="AM178" s="294"/>
      <c r="AN178" s="294"/>
      <c r="AO178" s="294"/>
      <c r="AP178" s="294"/>
      <c r="AQ178" s="294"/>
      <c r="AR178" s="294"/>
      <c r="AS178" s="71"/>
      <c r="AT178" s="71"/>
      <c r="AU178" s="71"/>
      <c r="AV178" s="71"/>
      <c r="AW178" s="71"/>
      <c r="AX178" s="71"/>
      <c r="AY178" s="71"/>
      <c r="AZ178" s="71"/>
      <c r="BA178" s="71"/>
      <c r="BB178" s="71"/>
      <c r="BC178" s="71"/>
      <c r="BD178" s="71"/>
      <c r="BE178" s="71"/>
      <c r="BF178" s="71"/>
      <c r="BG178" s="71"/>
      <c r="BH178" s="71"/>
      <c r="BI178" s="71"/>
    </row>
    <row r="179" spans="1:61" x14ac:dyDescent="0.2">
      <c r="A179" s="73"/>
      <c r="B179" s="73"/>
      <c r="C179" s="73"/>
      <c r="D179" s="71"/>
      <c r="E179" s="73"/>
      <c r="F179" s="73"/>
      <c r="G179" s="73"/>
      <c r="H179" s="73"/>
      <c r="I179" s="73"/>
      <c r="J179" s="295"/>
      <c r="K179" s="295"/>
      <c r="L179" s="295"/>
      <c r="M179" s="295"/>
      <c r="N179" s="295"/>
      <c r="O179" s="295"/>
      <c r="P179" s="295"/>
      <c r="Q179" s="295"/>
      <c r="R179" s="295"/>
      <c r="S179" s="295"/>
      <c r="T179" s="295"/>
      <c r="U179" s="295"/>
      <c r="V179" s="295"/>
      <c r="W179" s="295"/>
      <c r="X179" s="295"/>
      <c r="Y179" s="295"/>
      <c r="Z179" s="295"/>
      <c r="AA179" s="295"/>
      <c r="AB179" s="295"/>
      <c r="AC179" s="295"/>
      <c r="AD179" s="295"/>
      <c r="AE179" s="295"/>
      <c r="AF179" s="295"/>
      <c r="AG179" s="295"/>
      <c r="AH179" s="295"/>
      <c r="AI179" s="295"/>
      <c r="AJ179" s="295"/>
      <c r="AK179" s="295"/>
      <c r="AL179" s="294"/>
      <c r="AM179" s="294"/>
      <c r="AN179" s="294"/>
      <c r="AO179" s="294"/>
      <c r="AP179" s="294"/>
      <c r="AQ179" s="294"/>
      <c r="AR179" s="294"/>
      <c r="AS179" s="71"/>
      <c r="AT179" s="71"/>
      <c r="AU179" s="71"/>
      <c r="AV179" s="71"/>
      <c r="AW179" s="71"/>
      <c r="AX179" s="71"/>
      <c r="AY179" s="71"/>
      <c r="AZ179" s="71"/>
      <c r="BA179" s="71"/>
      <c r="BB179" s="71"/>
      <c r="BC179" s="71"/>
      <c r="BD179" s="71"/>
      <c r="BE179" s="71"/>
      <c r="BF179" s="71"/>
      <c r="BG179" s="71"/>
      <c r="BH179" s="71"/>
      <c r="BI179" s="71"/>
    </row>
    <row r="180" spans="1:61" x14ac:dyDescent="0.2">
      <c r="A180" s="73"/>
      <c r="B180" s="73"/>
      <c r="C180" s="73"/>
      <c r="D180" s="71"/>
      <c r="E180" s="73"/>
      <c r="F180" s="73"/>
      <c r="G180" s="73"/>
      <c r="H180" s="73"/>
      <c r="I180" s="73"/>
      <c r="J180" s="295"/>
      <c r="K180" s="295"/>
      <c r="L180" s="295"/>
      <c r="M180" s="295"/>
      <c r="N180" s="295"/>
      <c r="O180" s="295"/>
      <c r="P180" s="295"/>
      <c r="Q180" s="295"/>
      <c r="R180" s="295"/>
      <c r="S180" s="295"/>
      <c r="T180" s="295"/>
      <c r="U180" s="295"/>
      <c r="V180" s="295"/>
      <c r="W180" s="295"/>
      <c r="X180" s="295"/>
      <c r="Y180" s="295"/>
      <c r="Z180" s="295"/>
      <c r="AA180" s="295"/>
      <c r="AB180" s="295"/>
      <c r="AC180" s="295"/>
      <c r="AD180" s="295"/>
      <c r="AE180" s="295"/>
      <c r="AF180" s="295"/>
      <c r="AG180" s="295"/>
      <c r="AH180" s="295"/>
      <c r="AI180" s="295"/>
      <c r="AJ180" s="295"/>
      <c r="AK180" s="295"/>
      <c r="AL180" s="294"/>
      <c r="AM180" s="294"/>
      <c r="AN180" s="294"/>
      <c r="AO180" s="294"/>
      <c r="AP180" s="294"/>
      <c r="AQ180" s="294"/>
      <c r="AR180" s="294"/>
      <c r="AS180" s="71"/>
      <c r="AT180" s="71"/>
      <c r="AU180" s="71"/>
      <c r="AV180" s="71"/>
      <c r="AW180" s="71"/>
      <c r="AX180" s="71"/>
      <c r="AY180" s="71"/>
      <c r="AZ180" s="71"/>
      <c r="BA180" s="71"/>
      <c r="BB180" s="71"/>
      <c r="BC180" s="71"/>
      <c r="BD180" s="71"/>
      <c r="BE180" s="71"/>
      <c r="BF180" s="71"/>
      <c r="BG180" s="71"/>
      <c r="BH180" s="71"/>
      <c r="BI180" s="71"/>
    </row>
    <row r="181" spans="1:61" x14ac:dyDescent="0.2">
      <c r="A181" s="73"/>
      <c r="B181" s="73"/>
      <c r="C181" s="73"/>
      <c r="D181" s="71"/>
      <c r="E181" s="73"/>
      <c r="F181" s="73"/>
      <c r="G181" s="73"/>
      <c r="H181" s="73"/>
      <c r="I181" s="73"/>
      <c r="J181" s="295"/>
      <c r="K181" s="295"/>
      <c r="L181" s="295"/>
      <c r="M181" s="295"/>
      <c r="N181" s="295"/>
      <c r="O181" s="295"/>
      <c r="P181" s="295"/>
      <c r="Q181" s="295"/>
      <c r="R181" s="295"/>
      <c r="S181" s="295"/>
      <c r="T181" s="295"/>
      <c r="U181" s="295"/>
      <c r="V181" s="295"/>
      <c r="W181" s="295"/>
      <c r="X181" s="295"/>
      <c r="Y181" s="295"/>
      <c r="Z181" s="295"/>
      <c r="AA181" s="295"/>
      <c r="AB181" s="295"/>
      <c r="AC181" s="295"/>
      <c r="AD181" s="295"/>
      <c r="AE181" s="295"/>
      <c r="AF181" s="295"/>
      <c r="AG181" s="295"/>
      <c r="AH181" s="295"/>
      <c r="AI181" s="295"/>
      <c r="AJ181" s="295"/>
      <c r="AK181" s="295"/>
      <c r="AL181" s="294"/>
      <c r="AM181" s="294"/>
      <c r="AN181" s="294"/>
      <c r="AO181" s="294"/>
      <c r="AP181" s="294"/>
      <c r="AQ181" s="294"/>
      <c r="AR181" s="294"/>
      <c r="AS181" s="71"/>
      <c r="AT181" s="71"/>
      <c r="AU181" s="71"/>
      <c r="AV181" s="71"/>
      <c r="AW181" s="71"/>
      <c r="AX181" s="71"/>
      <c r="AY181" s="71"/>
      <c r="AZ181" s="71"/>
      <c r="BA181" s="71"/>
      <c r="BB181" s="71"/>
      <c r="BC181" s="71"/>
      <c r="BD181" s="71"/>
      <c r="BE181" s="71"/>
      <c r="BF181" s="71"/>
      <c r="BG181" s="71"/>
      <c r="BH181" s="71"/>
      <c r="BI181" s="71"/>
    </row>
    <row r="182" spans="1:61" x14ac:dyDescent="0.2">
      <c r="A182" s="73"/>
      <c r="B182" s="73"/>
      <c r="C182" s="73"/>
      <c r="D182" s="71"/>
      <c r="E182" s="73"/>
      <c r="F182" s="73"/>
      <c r="G182" s="73"/>
      <c r="H182" s="73"/>
      <c r="I182" s="73"/>
      <c r="J182" s="295"/>
      <c r="K182" s="295"/>
      <c r="L182" s="295"/>
      <c r="M182" s="295"/>
      <c r="N182" s="295"/>
      <c r="O182" s="295"/>
      <c r="P182" s="295"/>
      <c r="Q182" s="295"/>
      <c r="R182" s="295"/>
      <c r="S182" s="295"/>
      <c r="T182" s="295"/>
      <c r="U182" s="295"/>
      <c r="V182" s="295"/>
      <c r="W182" s="295"/>
      <c r="X182" s="295"/>
      <c r="Y182" s="295"/>
      <c r="Z182" s="295"/>
      <c r="AA182" s="295"/>
      <c r="AB182" s="295"/>
      <c r="AC182" s="295"/>
      <c r="AD182" s="295"/>
      <c r="AE182" s="295"/>
      <c r="AF182" s="295"/>
      <c r="AG182" s="295"/>
      <c r="AH182" s="295"/>
      <c r="AI182" s="295"/>
      <c r="AJ182" s="295"/>
      <c r="AK182" s="295"/>
      <c r="AL182" s="294"/>
      <c r="AM182" s="294"/>
      <c r="AN182" s="294"/>
      <c r="AO182" s="294"/>
      <c r="AP182" s="294"/>
      <c r="AQ182" s="294"/>
      <c r="AR182" s="294"/>
      <c r="AS182" s="71"/>
      <c r="AT182" s="71"/>
      <c r="AU182" s="71"/>
      <c r="AV182" s="71"/>
      <c r="AW182" s="71"/>
      <c r="AX182" s="71"/>
      <c r="AY182" s="71"/>
      <c r="AZ182" s="71"/>
      <c r="BA182" s="71"/>
      <c r="BB182" s="71"/>
      <c r="BC182" s="71"/>
      <c r="BD182" s="71"/>
      <c r="BE182" s="71"/>
      <c r="BF182" s="71"/>
      <c r="BG182" s="71"/>
      <c r="BH182" s="71"/>
      <c r="BI182" s="71"/>
    </row>
    <row r="183" spans="1:61" x14ac:dyDescent="0.2">
      <c r="A183" s="73"/>
      <c r="B183" s="73"/>
      <c r="C183" s="73"/>
      <c r="D183" s="71"/>
      <c r="E183" s="73"/>
      <c r="F183" s="73"/>
      <c r="G183" s="73"/>
      <c r="H183" s="73"/>
      <c r="I183" s="73"/>
      <c r="J183" s="295"/>
      <c r="K183" s="295"/>
      <c r="L183" s="295"/>
      <c r="M183" s="295"/>
      <c r="N183" s="295"/>
      <c r="O183" s="295"/>
      <c r="P183" s="295"/>
      <c r="Q183" s="295"/>
      <c r="R183" s="295"/>
      <c r="S183" s="295"/>
      <c r="T183" s="295"/>
      <c r="U183" s="295"/>
      <c r="V183" s="295"/>
      <c r="W183" s="295"/>
      <c r="X183" s="295"/>
      <c r="Y183" s="295"/>
      <c r="Z183" s="295"/>
      <c r="AA183" s="295"/>
      <c r="AB183" s="295"/>
      <c r="AC183" s="295"/>
      <c r="AD183" s="295"/>
      <c r="AE183" s="295"/>
      <c r="AF183" s="295"/>
      <c r="AG183" s="295"/>
      <c r="AH183" s="295"/>
      <c r="AI183" s="295"/>
      <c r="AJ183" s="295"/>
      <c r="AK183" s="295"/>
      <c r="AL183" s="294"/>
      <c r="AM183" s="294"/>
      <c r="AN183" s="294"/>
      <c r="AO183" s="294"/>
      <c r="AP183" s="294"/>
      <c r="AQ183" s="294"/>
      <c r="AR183" s="294"/>
      <c r="AS183" s="71"/>
      <c r="AT183" s="71"/>
      <c r="AU183" s="71"/>
      <c r="AV183" s="71"/>
      <c r="AW183" s="71"/>
      <c r="AX183" s="71"/>
      <c r="AY183" s="71"/>
      <c r="AZ183" s="71"/>
      <c r="BA183" s="71"/>
      <c r="BB183" s="71"/>
      <c r="BC183" s="71"/>
      <c r="BD183" s="71"/>
      <c r="BE183" s="71"/>
      <c r="BF183" s="71"/>
      <c r="BG183" s="71"/>
      <c r="BH183" s="71"/>
      <c r="BI183" s="71"/>
    </row>
    <row r="184" spans="1:61" x14ac:dyDescent="0.2">
      <c r="A184" s="73"/>
      <c r="B184" s="73"/>
      <c r="C184" s="73"/>
      <c r="D184" s="71"/>
      <c r="E184" s="73"/>
      <c r="F184" s="73"/>
      <c r="G184" s="73"/>
      <c r="H184" s="73"/>
      <c r="I184" s="73"/>
      <c r="J184" s="295"/>
      <c r="K184" s="295"/>
      <c r="L184" s="295"/>
      <c r="M184" s="295"/>
      <c r="N184" s="295"/>
      <c r="O184" s="295"/>
      <c r="P184" s="295"/>
      <c r="Q184" s="295"/>
      <c r="R184" s="295"/>
      <c r="S184" s="295"/>
      <c r="T184" s="295"/>
      <c r="U184" s="295"/>
      <c r="V184" s="295"/>
      <c r="W184" s="295"/>
      <c r="X184" s="295"/>
      <c r="Y184" s="295"/>
      <c r="Z184" s="295"/>
      <c r="AA184" s="295"/>
      <c r="AB184" s="295"/>
      <c r="AC184" s="295"/>
      <c r="AD184" s="295"/>
      <c r="AE184" s="295"/>
      <c r="AF184" s="295"/>
      <c r="AG184" s="295"/>
      <c r="AH184" s="295"/>
      <c r="AI184" s="295"/>
      <c r="AJ184" s="295"/>
      <c r="AK184" s="295"/>
      <c r="AL184" s="294"/>
      <c r="AM184" s="294"/>
      <c r="AN184" s="294"/>
      <c r="AO184" s="294"/>
      <c r="AP184" s="294"/>
      <c r="AQ184" s="294"/>
      <c r="AR184" s="294"/>
      <c r="AS184" s="71"/>
      <c r="AT184" s="71"/>
      <c r="AU184" s="71"/>
      <c r="AV184" s="71"/>
      <c r="AW184" s="71"/>
      <c r="AX184" s="71"/>
      <c r="AY184" s="71"/>
      <c r="AZ184" s="71"/>
      <c r="BA184" s="71"/>
      <c r="BB184" s="71"/>
      <c r="BC184" s="71"/>
      <c r="BD184" s="71"/>
      <c r="BE184" s="71"/>
      <c r="BF184" s="71"/>
      <c r="BG184" s="71"/>
      <c r="BH184" s="71"/>
      <c r="BI184" s="71"/>
    </row>
    <row r="185" spans="1:61" x14ac:dyDescent="0.2">
      <c r="A185" s="73"/>
      <c r="B185" s="73"/>
      <c r="C185" s="73"/>
      <c r="D185" s="71"/>
      <c r="E185" s="73"/>
      <c r="F185" s="73"/>
      <c r="G185" s="73"/>
      <c r="H185" s="73"/>
      <c r="I185" s="73"/>
      <c r="J185" s="295"/>
      <c r="K185" s="295"/>
      <c r="L185" s="295"/>
      <c r="M185" s="295"/>
      <c r="N185" s="295"/>
      <c r="O185" s="295"/>
      <c r="P185" s="295"/>
      <c r="Q185" s="295"/>
      <c r="R185" s="295"/>
      <c r="S185" s="295"/>
      <c r="T185" s="295"/>
      <c r="U185" s="295"/>
      <c r="V185" s="295"/>
      <c r="W185" s="295"/>
      <c r="X185" s="295"/>
      <c r="Y185" s="295"/>
      <c r="Z185" s="295"/>
      <c r="AA185" s="295"/>
      <c r="AB185" s="295"/>
      <c r="AC185" s="295"/>
      <c r="AD185" s="295"/>
      <c r="AE185" s="295"/>
      <c r="AF185" s="295"/>
      <c r="AG185" s="295"/>
      <c r="AH185" s="295"/>
      <c r="AI185" s="295"/>
      <c r="AJ185" s="295"/>
      <c r="AK185" s="295"/>
      <c r="AL185" s="294"/>
      <c r="AM185" s="294"/>
      <c r="AN185" s="294"/>
      <c r="AO185" s="294"/>
      <c r="AP185" s="294"/>
      <c r="AQ185" s="294"/>
      <c r="AR185" s="294"/>
      <c r="AS185" s="71"/>
      <c r="AT185" s="71"/>
      <c r="AU185" s="71"/>
      <c r="AV185" s="71"/>
      <c r="AW185" s="71"/>
      <c r="AX185" s="71"/>
      <c r="AY185" s="71"/>
      <c r="AZ185" s="71"/>
      <c r="BA185" s="71"/>
      <c r="BB185" s="71"/>
      <c r="BC185" s="71"/>
      <c r="BD185" s="71"/>
      <c r="BE185" s="71"/>
      <c r="BF185" s="71"/>
      <c r="BG185" s="71"/>
      <c r="BH185" s="71"/>
      <c r="BI185" s="71"/>
    </row>
    <row r="186" spans="1:61" x14ac:dyDescent="0.2">
      <c r="A186" s="73"/>
      <c r="B186" s="73"/>
      <c r="C186" s="73"/>
      <c r="D186" s="71"/>
      <c r="E186" s="73"/>
      <c r="F186" s="73"/>
      <c r="G186" s="73"/>
      <c r="H186" s="73"/>
      <c r="I186" s="73"/>
      <c r="J186" s="295"/>
      <c r="K186" s="295"/>
      <c r="L186" s="295"/>
      <c r="M186" s="295"/>
      <c r="N186" s="295"/>
      <c r="O186" s="295"/>
      <c r="P186" s="295"/>
      <c r="Q186" s="295"/>
      <c r="R186" s="295"/>
      <c r="S186" s="295"/>
      <c r="T186" s="295"/>
      <c r="U186" s="295"/>
      <c r="V186" s="295"/>
      <c r="W186" s="295"/>
      <c r="X186" s="295"/>
      <c r="Y186" s="295"/>
      <c r="Z186" s="295"/>
      <c r="AA186" s="295"/>
      <c r="AB186" s="295"/>
      <c r="AC186" s="295"/>
      <c r="AD186" s="295"/>
      <c r="AE186" s="295"/>
      <c r="AF186" s="295"/>
      <c r="AG186" s="295"/>
      <c r="AH186" s="295"/>
      <c r="AI186" s="295"/>
      <c r="AJ186" s="295"/>
      <c r="AK186" s="295"/>
      <c r="AL186" s="294"/>
      <c r="AM186" s="294"/>
      <c r="AN186" s="294"/>
      <c r="AO186" s="294"/>
      <c r="AP186" s="294"/>
      <c r="AQ186" s="294"/>
      <c r="AR186" s="294"/>
      <c r="AS186" s="71"/>
      <c r="AT186" s="71"/>
      <c r="AU186" s="71"/>
      <c r="AV186" s="71"/>
      <c r="AW186" s="71"/>
      <c r="AX186" s="71"/>
      <c r="AY186" s="71"/>
      <c r="AZ186" s="71"/>
      <c r="BA186" s="71"/>
      <c r="BB186" s="71"/>
      <c r="BC186" s="71"/>
      <c r="BD186" s="71"/>
      <c r="BE186" s="71"/>
      <c r="BF186" s="71"/>
      <c r="BG186" s="71"/>
      <c r="BH186" s="71"/>
      <c r="BI186" s="71"/>
    </row>
    <row r="187" spans="1:61" x14ac:dyDescent="0.2">
      <c r="A187" s="73"/>
      <c r="B187" s="73"/>
      <c r="C187" s="73"/>
      <c r="D187" s="71"/>
      <c r="E187" s="73"/>
      <c r="F187" s="73"/>
      <c r="G187" s="73"/>
      <c r="H187" s="73"/>
      <c r="I187" s="73"/>
      <c r="J187" s="295"/>
      <c r="K187" s="295"/>
      <c r="L187" s="295"/>
      <c r="M187" s="295"/>
      <c r="N187" s="295"/>
      <c r="O187" s="295"/>
      <c r="P187" s="295"/>
      <c r="Q187" s="295"/>
      <c r="R187" s="295"/>
      <c r="S187" s="295"/>
      <c r="T187" s="295"/>
      <c r="U187" s="295"/>
      <c r="V187" s="295"/>
      <c r="W187" s="295"/>
      <c r="X187" s="295"/>
      <c r="Y187" s="295"/>
      <c r="Z187" s="295"/>
      <c r="AA187" s="295"/>
      <c r="AB187" s="295"/>
      <c r="AC187" s="295"/>
      <c r="AD187" s="295"/>
      <c r="AE187" s="295"/>
      <c r="AF187" s="295"/>
      <c r="AG187" s="295"/>
      <c r="AH187" s="295"/>
      <c r="AI187" s="295"/>
      <c r="AJ187" s="295"/>
      <c r="AK187" s="295"/>
      <c r="AL187" s="294"/>
      <c r="AM187" s="294"/>
      <c r="AN187" s="294"/>
      <c r="AO187" s="294"/>
      <c r="AP187" s="294"/>
      <c r="AQ187" s="294"/>
      <c r="AR187" s="294"/>
      <c r="AS187" s="71"/>
      <c r="AT187" s="71"/>
      <c r="AU187" s="71"/>
      <c r="AV187" s="71"/>
      <c r="AW187" s="71"/>
      <c r="AX187" s="71"/>
      <c r="AY187" s="71"/>
      <c r="AZ187" s="71"/>
      <c r="BA187" s="71"/>
      <c r="BB187" s="71"/>
      <c r="BC187" s="71"/>
      <c r="BD187" s="71"/>
      <c r="BE187" s="71"/>
      <c r="BF187" s="71"/>
      <c r="BG187" s="71"/>
      <c r="BH187" s="71"/>
      <c r="BI187" s="71"/>
    </row>
    <row r="188" spans="1:61" x14ac:dyDescent="0.2">
      <c r="A188" s="73"/>
      <c r="B188" s="73"/>
      <c r="C188" s="73"/>
      <c r="D188" s="71"/>
      <c r="E188" s="73"/>
      <c r="F188" s="73"/>
      <c r="G188" s="73"/>
      <c r="H188" s="73"/>
      <c r="I188" s="73"/>
      <c r="J188" s="295"/>
      <c r="K188" s="295"/>
      <c r="L188" s="295"/>
      <c r="M188" s="295"/>
      <c r="N188" s="295"/>
      <c r="O188" s="295"/>
      <c r="P188" s="295"/>
      <c r="Q188" s="295"/>
      <c r="R188" s="295"/>
      <c r="S188" s="295"/>
      <c r="T188" s="295"/>
      <c r="U188" s="295"/>
      <c r="V188" s="295"/>
      <c r="W188" s="295"/>
      <c r="X188" s="295"/>
      <c r="Y188" s="295"/>
      <c r="Z188" s="295"/>
      <c r="AA188" s="295"/>
      <c r="AB188" s="295"/>
      <c r="AC188" s="295"/>
      <c r="AD188" s="295"/>
      <c r="AE188" s="295"/>
      <c r="AF188" s="295"/>
      <c r="AG188" s="295"/>
      <c r="AH188" s="295"/>
      <c r="AI188" s="295"/>
      <c r="AJ188" s="295"/>
      <c r="AK188" s="295"/>
      <c r="AL188" s="294"/>
      <c r="AM188" s="294"/>
      <c r="AN188" s="294"/>
      <c r="AO188" s="294"/>
      <c r="AP188" s="294"/>
      <c r="AQ188" s="294"/>
      <c r="AR188" s="294"/>
      <c r="AS188" s="71"/>
      <c r="AT188" s="71"/>
      <c r="AU188" s="71"/>
      <c r="AV188" s="71"/>
      <c r="AW188" s="71"/>
      <c r="AX188" s="71"/>
      <c r="AY188" s="71"/>
      <c r="AZ188" s="71"/>
      <c r="BA188" s="71"/>
      <c r="BB188" s="71"/>
      <c r="BC188" s="71"/>
      <c r="BD188" s="71"/>
      <c r="BE188" s="71"/>
      <c r="BF188" s="71"/>
      <c r="BG188" s="71"/>
      <c r="BH188" s="71"/>
      <c r="BI188" s="71"/>
    </row>
    <row r="189" spans="1:61" x14ac:dyDescent="0.2">
      <c r="A189" s="73"/>
      <c r="B189" s="73"/>
      <c r="C189" s="73"/>
      <c r="D189" s="71"/>
      <c r="E189" s="73"/>
      <c r="F189" s="73"/>
      <c r="G189" s="73"/>
      <c r="H189" s="73"/>
      <c r="I189" s="73"/>
      <c r="J189" s="295"/>
      <c r="K189" s="295"/>
      <c r="L189" s="295"/>
      <c r="M189" s="295"/>
      <c r="N189" s="295"/>
      <c r="O189" s="295"/>
      <c r="P189" s="295"/>
      <c r="Q189" s="295"/>
      <c r="R189" s="295"/>
      <c r="S189" s="295"/>
      <c r="T189" s="295"/>
      <c r="U189" s="295"/>
      <c r="V189" s="295"/>
      <c r="W189" s="295"/>
      <c r="X189" s="295"/>
      <c r="Y189" s="295"/>
      <c r="Z189" s="295"/>
      <c r="AA189" s="295"/>
      <c r="AB189" s="295"/>
      <c r="AC189" s="295"/>
      <c r="AD189" s="295"/>
      <c r="AE189" s="295"/>
      <c r="AF189" s="295"/>
      <c r="AG189" s="295"/>
      <c r="AH189" s="295"/>
      <c r="AI189" s="295"/>
      <c r="AJ189" s="295"/>
      <c r="AK189" s="295"/>
      <c r="AL189" s="294"/>
      <c r="AM189" s="294"/>
      <c r="AN189" s="294"/>
      <c r="AO189" s="294"/>
      <c r="AP189" s="294"/>
      <c r="AQ189" s="294"/>
      <c r="AR189" s="294"/>
      <c r="AS189" s="71"/>
      <c r="AT189" s="71"/>
      <c r="AU189" s="71"/>
      <c r="AV189" s="71"/>
      <c r="AW189" s="71"/>
      <c r="AX189" s="71"/>
      <c r="AY189" s="71"/>
      <c r="AZ189" s="71"/>
      <c r="BA189" s="71"/>
      <c r="BB189" s="71"/>
      <c r="BC189" s="71"/>
      <c r="BD189" s="71"/>
      <c r="BE189" s="71"/>
      <c r="BF189" s="71"/>
      <c r="BG189" s="71"/>
      <c r="BH189" s="71"/>
      <c r="BI189" s="71"/>
    </row>
    <row r="190" spans="1:61" x14ac:dyDescent="0.2">
      <c r="A190" s="73"/>
      <c r="B190" s="73"/>
      <c r="C190" s="73"/>
      <c r="D190" s="71"/>
      <c r="E190" s="73"/>
      <c r="F190" s="73"/>
      <c r="G190" s="73"/>
      <c r="H190" s="73"/>
      <c r="I190" s="73"/>
      <c r="J190" s="295"/>
      <c r="K190" s="295"/>
      <c r="L190" s="295"/>
      <c r="M190" s="295"/>
      <c r="N190" s="295"/>
      <c r="O190" s="295"/>
      <c r="P190" s="295"/>
      <c r="Q190" s="295"/>
      <c r="R190" s="295"/>
      <c r="S190" s="295"/>
      <c r="T190" s="295"/>
      <c r="U190" s="295"/>
      <c r="V190" s="295"/>
      <c r="W190" s="295"/>
      <c r="X190" s="295"/>
      <c r="Y190" s="295"/>
      <c r="Z190" s="295"/>
      <c r="AA190" s="295"/>
      <c r="AB190" s="295"/>
      <c r="AC190" s="295"/>
      <c r="AD190" s="295"/>
      <c r="AE190" s="295"/>
      <c r="AF190" s="295"/>
      <c r="AG190" s="295"/>
      <c r="AH190" s="295"/>
      <c r="AI190" s="295"/>
      <c r="AJ190" s="295"/>
      <c r="AK190" s="295"/>
      <c r="AL190" s="294"/>
      <c r="AM190" s="294"/>
      <c r="AN190" s="294"/>
      <c r="AO190" s="294"/>
      <c r="AP190" s="294"/>
      <c r="AQ190" s="294"/>
      <c r="AR190" s="294"/>
      <c r="AS190" s="71"/>
      <c r="AT190" s="71"/>
      <c r="AU190" s="71"/>
      <c r="AV190" s="71"/>
      <c r="AW190" s="71"/>
      <c r="AX190" s="71"/>
      <c r="AY190" s="71"/>
      <c r="AZ190" s="71"/>
      <c r="BA190" s="71"/>
      <c r="BB190" s="71"/>
      <c r="BC190" s="71"/>
      <c r="BD190" s="71"/>
      <c r="BE190" s="71"/>
      <c r="BF190" s="71"/>
      <c r="BG190" s="71"/>
      <c r="BH190" s="71"/>
      <c r="BI190" s="71"/>
    </row>
    <row r="191" spans="1:61" x14ac:dyDescent="0.2">
      <c r="A191" s="73"/>
      <c r="B191" s="73"/>
      <c r="C191" s="73"/>
      <c r="D191" s="71"/>
      <c r="E191" s="73"/>
      <c r="F191" s="73"/>
      <c r="G191" s="73"/>
      <c r="H191" s="73"/>
      <c r="I191" s="73"/>
      <c r="J191" s="295"/>
      <c r="K191" s="295"/>
      <c r="L191" s="295"/>
      <c r="M191" s="295"/>
      <c r="N191" s="295"/>
      <c r="O191" s="295"/>
      <c r="P191" s="295"/>
      <c r="Q191" s="295"/>
      <c r="R191" s="295"/>
      <c r="S191" s="295"/>
      <c r="T191" s="295"/>
      <c r="U191" s="295"/>
      <c r="V191" s="295"/>
      <c r="W191" s="295"/>
      <c r="X191" s="295"/>
      <c r="Y191" s="295"/>
      <c r="Z191" s="295"/>
      <c r="AA191" s="295"/>
      <c r="AB191" s="295"/>
      <c r="AC191" s="295"/>
      <c r="AD191" s="295"/>
      <c r="AE191" s="295"/>
      <c r="AF191" s="295"/>
      <c r="AG191" s="295"/>
      <c r="AH191" s="295"/>
      <c r="AI191" s="295"/>
      <c r="AJ191" s="295"/>
      <c r="AK191" s="295"/>
      <c r="AL191" s="294"/>
      <c r="AM191" s="294"/>
      <c r="AN191" s="294"/>
      <c r="AO191" s="294"/>
      <c r="AP191" s="294"/>
      <c r="AQ191" s="294"/>
      <c r="AR191" s="294"/>
      <c r="AS191" s="71"/>
      <c r="AT191" s="71"/>
      <c r="AU191" s="71"/>
      <c r="AV191" s="71"/>
      <c r="AW191" s="71"/>
      <c r="AX191" s="71"/>
      <c r="AY191" s="71"/>
      <c r="AZ191" s="71"/>
      <c r="BA191" s="71"/>
      <c r="BB191" s="71"/>
      <c r="BC191" s="71"/>
      <c r="BD191" s="71"/>
      <c r="BE191" s="71"/>
      <c r="BF191" s="71"/>
      <c r="BG191" s="71"/>
      <c r="BH191" s="71"/>
      <c r="BI191" s="71"/>
    </row>
    <row r="192" spans="1:61" x14ac:dyDescent="0.2"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6"/>
      <c r="AC192" s="296"/>
      <c r="AD192" s="296"/>
      <c r="AE192" s="296"/>
      <c r="AF192" s="296"/>
      <c r="AG192" s="296"/>
      <c r="AH192" s="296"/>
      <c r="AI192" s="296"/>
      <c r="AJ192" s="296"/>
      <c r="AK192" s="296"/>
      <c r="AL192" s="291"/>
      <c r="AM192" s="291"/>
      <c r="AN192" s="291"/>
      <c r="AO192" s="291"/>
      <c r="AP192" s="291"/>
      <c r="AQ192" s="291"/>
      <c r="AR192" s="291"/>
    </row>
    <row r="193" spans="10:44" x14ac:dyDescent="0.2">
      <c r="J193" s="296"/>
      <c r="K193" s="296"/>
      <c r="L193" s="296"/>
      <c r="M193" s="296"/>
      <c r="N193" s="296"/>
      <c r="O193" s="296"/>
      <c r="P193" s="296"/>
      <c r="Q193" s="296"/>
      <c r="R193" s="296"/>
      <c r="S193" s="296"/>
      <c r="T193" s="296"/>
      <c r="U193" s="296"/>
      <c r="V193" s="296"/>
      <c r="W193" s="296"/>
      <c r="X193" s="296"/>
      <c r="Y193" s="296"/>
      <c r="Z193" s="296"/>
      <c r="AA193" s="296"/>
      <c r="AB193" s="296"/>
      <c r="AC193" s="296"/>
      <c r="AD193" s="296"/>
      <c r="AE193" s="296"/>
      <c r="AF193" s="296"/>
      <c r="AG193" s="296"/>
      <c r="AH193" s="296"/>
      <c r="AI193" s="296"/>
      <c r="AJ193" s="296"/>
      <c r="AK193" s="296"/>
      <c r="AL193" s="291"/>
      <c r="AM193" s="291"/>
      <c r="AN193" s="291"/>
      <c r="AO193" s="291"/>
      <c r="AP193" s="291"/>
      <c r="AQ193" s="291"/>
      <c r="AR193" s="291"/>
    </row>
    <row r="194" spans="10:44" x14ac:dyDescent="0.2">
      <c r="J194" s="296"/>
      <c r="K194" s="296"/>
      <c r="L194" s="296"/>
      <c r="M194" s="296"/>
      <c r="N194" s="296"/>
      <c r="O194" s="296"/>
      <c r="P194" s="296"/>
      <c r="Q194" s="296"/>
      <c r="R194" s="296"/>
      <c r="S194" s="296"/>
      <c r="T194" s="296"/>
      <c r="U194" s="296"/>
      <c r="V194" s="296"/>
      <c r="W194" s="296"/>
      <c r="X194" s="296"/>
      <c r="Y194" s="296"/>
      <c r="Z194" s="296"/>
      <c r="AA194" s="296"/>
      <c r="AB194" s="296"/>
      <c r="AC194" s="296"/>
      <c r="AD194" s="296"/>
      <c r="AE194" s="296"/>
      <c r="AF194" s="296"/>
      <c r="AG194" s="296"/>
      <c r="AH194" s="296"/>
      <c r="AI194" s="296"/>
      <c r="AJ194" s="296"/>
      <c r="AK194" s="296"/>
      <c r="AL194" s="291"/>
      <c r="AM194" s="291"/>
      <c r="AN194" s="291"/>
      <c r="AO194" s="291"/>
      <c r="AP194" s="291"/>
      <c r="AQ194" s="291"/>
      <c r="AR194" s="291"/>
    </row>
    <row r="195" spans="10:44" x14ac:dyDescent="0.2">
      <c r="J195" s="296"/>
      <c r="K195" s="296"/>
      <c r="L195" s="296"/>
      <c r="M195" s="296"/>
      <c r="N195" s="296"/>
      <c r="O195" s="296"/>
      <c r="P195" s="296"/>
      <c r="Q195" s="296"/>
      <c r="R195" s="296"/>
      <c r="S195" s="296"/>
      <c r="T195" s="296"/>
      <c r="U195" s="296"/>
      <c r="V195" s="296"/>
      <c r="W195" s="296"/>
      <c r="X195" s="296"/>
      <c r="Y195" s="296"/>
      <c r="Z195" s="296"/>
      <c r="AA195" s="296"/>
      <c r="AB195" s="296"/>
      <c r="AC195" s="296"/>
      <c r="AD195" s="296"/>
      <c r="AE195" s="296"/>
      <c r="AF195" s="296"/>
      <c r="AG195" s="296"/>
      <c r="AH195" s="296"/>
      <c r="AI195" s="296"/>
      <c r="AJ195" s="296"/>
      <c r="AK195" s="296"/>
      <c r="AL195" s="291"/>
      <c r="AM195" s="291"/>
      <c r="AN195" s="291"/>
      <c r="AO195" s="291"/>
      <c r="AP195" s="291"/>
      <c r="AQ195" s="291"/>
      <c r="AR195" s="291"/>
    </row>
    <row r="196" spans="10:44" x14ac:dyDescent="0.2">
      <c r="J196" s="296"/>
      <c r="K196" s="296"/>
      <c r="L196" s="296"/>
      <c r="M196" s="296"/>
      <c r="N196" s="296"/>
      <c r="O196" s="296"/>
      <c r="P196" s="296"/>
      <c r="Q196" s="296"/>
      <c r="R196" s="296"/>
      <c r="S196" s="296"/>
      <c r="T196" s="296"/>
      <c r="U196" s="296"/>
      <c r="V196" s="296"/>
      <c r="W196" s="296"/>
      <c r="X196" s="296"/>
      <c r="Y196" s="296"/>
      <c r="Z196" s="296"/>
      <c r="AA196" s="296"/>
      <c r="AB196" s="296"/>
      <c r="AC196" s="296"/>
      <c r="AD196" s="296"/>
      <c r="AE196" s="296"/>
      <c r="AF196" s="296"/>
      <c r="AG196" s="296"/>
      <c r="AH196" s="296"/>
      <c r="AI196" s="296"/>
      <c r="AJ196" s="296"/>
      <c r="AK196" s="296"/>
      <c r="AL196" s="291"/>
      <c r="AM196" s="291"/>
      <c r="AN196" s="291"/>
      <c r="AO196" s="291"/>
      <c r="AP196" s="291"/>
      <c r="AQ196" s="291"/>
      <c r="AR196" s="291"/>
    </row>
    <row r="197" spans="10:44" x14ac:dyDescent="0.2">
      <c r="J197" s="296"/>
      <c r="K197" s="296"/>
      <c r="L197" s="296"/>
      <c r="M197" s="296"/>
      <c r="N197" s="296"/>
      <c r="O197" s="296"/>
      <c r="P197" s="296"/>
      <c r="Q197" s="296"/>
      <c r="R197" s="296"/>
      <c r="S197" s="296"/>
      <c r="T197" s="296"/>
      <c r="U197" s="296"/>
      <c r="V197" s="296"/>
      <c r="W197" s="296"/>
      <c r="X197" s="296"/>
      <c r="Y197" s="296"/>
      <c r="Z197" s="296"/>
      <c r="AA197" s="296"/>
      <c r="AB197" s="296"/>
      <c r="AC197" s="296"/>
      <c r="AD197" s="296"/>
      <c r="AE197" s="296"/>
      <c r="AF197" s="296"/>
      <c r="AG197" s="296"/>
      <c r="AH197" s="296"/>
      <c r="AI197" s="296"/>
      <c r="AJ197" s="296"/>
      <c r="AK197" s="296"/>
      <c r="AL197" s="291"/>
      <c r="AM197" s="291"/>
      <c r="AN197" s="291"/>
      <c r="AO197" s="291"/>
      <c r="AP197" s="291"/>
      <c r="AQ197" s="291"/>
      <c r="AR197" s="291"/>
    </row>
    <row r="293" spans="1:39" x14ac:dyDescent="0.2">
      <c r="A293" s="189"/>
      <c r="B293" s="189"/>
      <c r="C293" s="189"/>
      <c r="D293" s="3"/>
      <c r="AK293" s="189"/>
    </row>
    <row r="294" spans="1:39" x14ac:dyDescent="0.2">
      <c r="A294" s="189"/>
      <c r="B294" s="189"/>
      <c r="C294" s="189"/>
      <c r="D294" s="3"/>
      <c r="AK294" s="189"/>
    </row>
    <row r="295" spans="1:39" x14ac:dyDescent="0.2">
      <c r="A295" s="189"/>
      <c r="B295" s="189"/>
      <c r="C295" s="189"/>
      <c r="D295" s="3"/>
      <c r="AK295" s="189"/>
    </row>
    <row r="296" spans="1:39" x14ac:dyDescent="0.2">
      <c r="A296" s="189"/>
      <c r="B296" s="189"/>
      <c r="C296" s="189"/>
      <c r="AK296" s="189"/>
    </row>
    <row r="297" spans="1:39" x14ac:dyDescent="0.2">
      <c r="A297" s="189"/>
      <c r="B297" s="189"/>
      <c r="C297" s="189"/>
      <c r="AK297" s="189"/>
    </row>
    <row r="298" spans="1:39" x14ac:dyDescent="0.2">
      <c r="A298" s="189"/>
      <c r="B298" s="189"/>
      <c r="C298" s="189"/>
      <c r="F298" s="189"/>
      <c r="AL298" s="3"/>
      <c r="AM298" s="3"/>
    </row>
    <row r="299" spans="1:39" x14ac:dyDescent="0.2">
      <c r="A299" s="189"/>
      <c r="B299" s="189"/>
      <c r="C299" s="189"/>
      <c r="F299" s="189"/>
      <c r="AL299" s="3"/>
      <c r="AM299" s="3"/>
    </row>
    <row r="300" spans="1:39" x14ac:dyDescent="0.2">
      <c r="A300" s="189"/>
      <c r="B300" s="189"/>
      <c r="C300" s="189"/>
      <c r="F300" s="189"/>
      <c r="AL300" s="3"/>
      <c r="AM300" s="3"/>
    </row>
    <row r="301" spans="1:39" x14ac:dyDescent="0.2">
      <c r="A301" s="189"/>
      <c r="B301" s="189"/>
      <c r="C301" s="189"/>
      <c r="F301" s="189"/>
      <c r="AL301" s="3"/>
      <c r="AM301" s="3"/>
    </row>
    <row r="302" spans="1:39" x14ac:dyDescent="0.2">
      <c r="A302" s="189"/>
      <c r="B302" s="189"/>
      <c r="C302" s="189"/>
      <c r="F302" s="189"/>
      <c r="AL302" s="3"/>
      <c r="AM302" s="3"/>
    </row>
    <row r="303" spans="1:39" x14ac:dyDescent="0.2">
      <c r="A303" s="189"/>
      <c r="B303" s="189"/>
      <c r="C303" s="189"/>
      <c r="E303" s="189"/>
      <c r="F303" s="189"/>
      <c r="AL303" s="3"/>
      <c r="AM303" s="3"/>
    </row>
    <row r="304" spans="1:39" x14ac:dyDescent="0.2">
      <c r="A304" s="189"/>
      <c r="B304" s="189"/>
      <c r="C304" s="189"/>
      <c r="E304" s="189"/>
      <c r="F304" s="189"/>
      <c r="AL304" s="3"/>
      <c r="AM304" s="3"/>
    </row>
    <row r="305" spans="1:39" x14ac:dyDescent="0.2">
      <c r="A305" s="189"/>
      <c r="B305" s="189"/>
      <c r="C305" s="189"/>
      <c r="E305" s="189"/>
      <c r="F305" s="189"/>
      <c r="AL305" s="3"/>
      <c r="AM305" s="3"/>
    </row>
    <row r="306" spans="1:39" x14ac:dyDescent="0.2">
      <c r="A306" s="189"/>
      <c r="B306" s="189"/>
      <c r="C306" s="189"/>
      <c r="E306" s="189"/>
      <c r="F306" s="189"/>
      <c r="AL306" s="3"/>
      <c r="AM306" s="3"/>
    </row>
    <row r="307" spans="1:39" x14ac:dyDescent="0.2">
      <c r="A307" s="189"/>
      <c r="B307" s="189"/>
      <c r="C307" s="189"/>
      <c r="E307" s="189"/>
      <c r="F307" s="189"/>
      <c r="AL307" s="3"/>
      <c r="AM307" s="3"/>
    </row>
    <row r="308" spans="1:39" x14ac:dyDescent="0.2">
      <c r="A308" s="189"/>
      <c r="B308" s="189"/>
      <c r="C308" s="189"/>
      <c r="E308" s="189"/>
      <c r="F308" s="189"/>
      <c r="AL308" s="3"/>
      <c r="AM308" s="3"/>
    </row>
    <row r="309" spans="1:39" x14ac:dyDescent="0.2">
      <c r="A309" s="189"/>
      <c r="B309" s="189"/>
      <c r="C309" s="189"/>
      <c r="E309" s="189"/>
      <c r="F309" s="189"/>
      <c r="AL309" s="3"/>
      <c r="AM309" s="3"/>
    </row>
    <row r="310" spans="1:39" x14ac:dyDescent="0.2">
      <c r="A310" s="189"/>
      <c r="B310" s="189"/>
      <c r="C310" s="189"/>
      <c r="E310" s="189"/>
      <c r="F310" s="189"/>
      <c r="AL310" s="3"/>
      <c r="AM310" s="3"/>
    </row>
    <row r="311" spans="1:39" x14ac:dyDescent="0.2">
      <c r="A311" s="189"/>
      <c r="B311" s="189"/>
      <c r="C311" s="189"/>
      <c r="E311" s="189"/>
      <c r="AK311" s="189"/>
    </row>
    <row r="312" spans="1:39" x14ac:dyDescent="0.2">
      <c r="A312" s="189"/>
      <c r="B312" s="189"/>
      <c r="C312" s="189"/>
      <c r="E312" s="189"/>
      <c r="AK312" s="189"/>
    </row>
  </sheetData>
  <phoneticPr fontId="11" type="noConversion"/>
  <pageMargins left="0.75" right="0.75" top="1" bottom="1" header="0.5" footer="0.5"/>
  <pageSetup paperSize="9" orientation="portrait" horizontalDpi="400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482"/>
  <sheetViews>
    <sheetView topLeftCell="A91" workbookViewId="0">
      <selection activeCell="A120" sqref="A120"/>
    </sheetView>
  </sheetViews>
  <sheetFormatPr defaultRowHeight="12.75" x14ac:dyDescent="0.2"/>
  <cols>
    <col min="1" max="1" width="12.42578125" customWidth="1"/>
  </cols>
  <sheetData>
    <row r="1" spans="1:26" ht="16.5" thickBot="1" x14ac:dyDescent="0.3">
      <c r="A1" s="136"/>
      <c r="B1" s="137"/>
      <c r="C1" s="138"/>
      <c r="D1" s="138"/>
      <c r="E1" s="139"/>
      <c r="J1" s="133" t="s">
        <v>148</v>
      </c>
      <c r="R1" s="162"/>
    </row>
    <row r="2" spans="1:26" x14ac:dyDescent="0.2">
      <c r="A2" s="91"/>
      <c r="B2" s="91"/>
      <c r="C2" s="92"/>
      <c r="D2" t="s">
        <v>9</v>
      </c>
      <c r="F2" s="3"/>
      <c r="H2" s="3"/>
      <c r="J2" s="93">
        <v>7.3913460176384378</v>
      </c>
      <c r="K2" s="93">
        <v>7.1617316694213233</v>
      </c>
      <c r="L2" s="166" t="s">
        <v>64</v>
      </c>
      <c r="M2" s="166"/>
      <c r="N2" s="166"/>
      <c r="O2" s="166"/>
      <c r="P2" s="162"/>
      <c r="Q2" s="162"/>
      <c r="R2" s="162"/>
      <c r="S2" s="162"/>
      <c r="T2" s="162"/>
    </row>
    <row r="3" spans="1:26" x14ac:dyDescent="0.2">
      <c r="A3" s="91" t="s">
        <v>37</v>
      </c>
      <c r="B3" s="91"/>
      <c r="C3" s="92"/>
      <c r="D3" s="91" t="s">
        <v>38</v>
      </c>
      <c r="E3" s="91" t="s">
        <v>39</v>
      </c>
      <c r="F3" s="94" t="s">
        <v>38</v>
      </c>
      <c r="G3" s="94" t="s">
        <v>39</v>
      </c>
      <c r="H3" s="94" t="s">
        <v>38</v>
      </c>
      <c r="I3" s="94" t="s">
        <v>39</v>
      </c>
      <c r="J3" s="94" t="s">
        <v>38</v>
      </c>
      <c r="K3" s="94" t="s">
        <v>39</v>
      </c>
      <c r="M3" s="164" t="s">
        <v>38</v>
      </c>
      <c r="N3" s="164" t="s">
        <v>39</v>
      </c>
      <c r="P3" s="94" t="s">
        <v>38</v>
      </c>
      <c r="Q3" s="94" t="s">
        <v>39</v>
      </c>
      <c r="R3" s="162"/>
      <c r="S3" s="162"/>
      <c r="T3" s="162"/>
    </row>
    <row r="4" spans="1:26" x14ac:dyDescent="0.2">
      <c r="A4" s="92" t="s">
        <v>67</v>
      </c>
      <c r="B4" s="91" t="s">
        <v>40</v>
      </c>
      <c r="C4" s="92" t="s">
        <v>41</v>
      </c>
      <c r="D4" s="92" t="s">
        <v>12</v>
      </c>
      <c r="E4" s="92" t="s">
        <v>12</v>
      </c>
      <c r="F4" s="143" t="s">
        <v>42</v>
      </c>
      <c r="G4" s="144"/>
      <c r="H4" s="144" t="s">
        <v>43</v>
      </c>
      <c r="I4" s="144"/>
      <c r="J4" s="144" t="s">
        <v>149</v>
      </c>
      <c r="K4" s="94"/>
      <c r="M4" s="165" t="s">
        <v>43</v>
      </c>
      <c r="N4" s="165"/>
      <c r="P4" s="169" t="s">
        <v>68</v>
      </c>
      <c r="Q4" s="94"/>
      <c r="R4" s="162"/>
      <c r="S4" s="162"/>
      <c r="T4" s="162"/>
      <c r="U4" s="162"/>
      <c r="V4" s="162"/>
    </row>
    <row r="5" spans="1:26" x14ac:dyDescent="0.2">
      <c r="A5" s="92">
        <v>1</v>
      </c>
      <c r="B5" s="95">
        <v>480</v>
      </c>
      <c r="C5" s="96">
        <v>6.7034450682553413</v>
      </c>
      <c r="D5" s="97">
        <v>0.72817914977259168</v>
      </c>
      <c r="E5" s="97">
        <v>0.72817914977259168</v>
      </c>
      <c r="F5" s="98">
        <v>4.1269280276539533E-2</v>
      </c>
      <c r="G5" s="98">
        <v>0.12371065435851326</v>
      </c>
      <c r="H5" s="99">
        <v>19.809254532738976</v>
      </c>
      <c r="I5" s="99">
        <v>59.381114092086364</v>
      </c>
      <c r="J5" s="100">
        <v>7.5444961628321758</v>
      </c>
      <c r="K5" s="100">
        <v>7.3573238320896213</v>
      </c>
      <c r="M5" s="167">
        <v>0</v>
      </c>
      <c r="N5" s="167">
        <v>0</v>
      </c>
      <c r="P5" s="93">
        <v>0.99046272663694879</v>
      </c>
      <c r="Q5" s="93">
        <v>0.98968523486810611</v>
      </c>
      <c r="R5" s="113">
        <f t="array" ref="R5:R14">TRANSPOSE(Q16:Z16)*2</f>
        <v>0</v>
      </c>
      <c r="S5" s="162"/>
      <c r="T5" s="162"/>
      <c r="U5" s="162"/>
      <c r="V5" s="162"/>
    </row>
    <row r="6" spans="1:26" x14ac:dyDescent="0.2">
      <c r="A6" s="92">
        <f>A5+1</f>
        <v>2</v>
      </c>
      <c r="B6" s="95">
        <v>465.59999999999997</v>
      </c>
      <c r="C6" s="96">
        <v>5.9586178384491921</v>
      </c>
      <c r="D6" s="97">
        <v>0.78374992761929596</v>
      </c>
      <c r="E6" s="97">
        <v>0.7339150817107799</v>
      </c>
      <c r="F6" s="98">
        <v>3.9037055024637723E-4</v>
      </c>
      <c r="G6" s="98">
        <v>1.2946625094001352E-3</v>
      </c>
      <c r="H6" s="99">
        <v>0.18175652819471322</v>
      </c>
      <c r="I6" s="99">
        <v>0.60279486437670293</v>
      </c>
      <c r="J6" s="100">
        <v>7.1837938564478252</v>
      </c>
      <c r="K6" s="100">
        <v>7.1730657014319279</v>
      </c>
      <c r="M6" s="167">
        <v>4</v>
      </c>
      <c r="N6" s="167">
        <v>100</v>
      </c>
      <c r="P6" s="93">
        <v>9.0878264097356606E-3</v>
      </c>
      <c r="Q6" s="93">
        <v>1.0046581072945048E-2</v>
      </c>
      <c r="R6" s="113">
        <v>0.39749619428384808</v>
      </c>
      <c r="S6" s="162"/>
      <c r="T6" s="162"/>
      <c r="U6" s="162"/>
      <c r="V6" s="162"/>
    </row>
    <row r="7" spans="1:26" x14ac:dyDescent="0.2">
      <c r="A7" s="92">
        <f t="shared" ref="A7:A14" si="0">A6+1</f>
        <v>3</v>
      </c>
      <c r="B7" s="95">
        <v>451.63199999999995</v>
      </c>
      <c r="C7" s="96">
        <v>5.213790608643043</v>
      </c>
      <c r="D7" s="97">
        <v>0.82017566335534609</v>
      </c>
      <c r="E7" s="97">
        <v>0.7394058799099078</v>
      </c>
      <c r="F7" s="98">
        <v>5.3298524604894482E-7</v>
      </c>
      <c r="G7" s="98">
        <v>6.4479612460477409E-7</v>
      </c>
      <c r="H7" s="99">
        <v>2.4071319264357702E-4</v>
      </c>
      <c r="I7" s="99">
        <v>2.9121056334750327E-4</v>
      </c>
      <c r="J7" s="100">
        <v>5.213790608643043</v>
      </c>
      <c r="K7" s="100">
        <v>5.213790608643043</v>
      </c>
      <c r="M7" s="167">
        <v>3</v>
      </c>
      <c r="N7" s="167">
        <v>70</v>
      </c>
      <c r="P7" s="93">
        <v>1.2035659632178851E-5</v>
      </c>
      <c r="Q7" s="93">
        <v>4.8535093891250545E-6</v>
      </c>
      <c r="R7" s="113">
        <v>0.2827622908412834</v>
      </c>
      <c r="S7" s="162"/>
      <c r="T7" s="162"/>
      <c r="U7" s="162"/>
      <c r="V7" s="162"/>
    </row>
    <row r="8" spans="1:26" x14ac:dyDescent="0.2">
      <c r="A8" s="92">
        <f t="shared" si="0"/>
        <v>4</v>
      </c>
      <c r="B8" s="95">
        <v>438.08303999999993</v>
      </c>
      <c r="C8" s="96">
        <v>4.4689633788368939</v>
      </c>
      <c r="D8" s="97">
        <v>0.84599200235147964</v>
      </c>
      <c r="E8" s="97">
        <v>0.74466747501223873</v>
      </c>
      <c r="F8" s="98">
        <v>1.0922807103241894E-10</v>
      </c>
      <c r="G8" s="98">
        <v>1.5179968393397303E-11</v>
      </c>
      <c r="H8" s="99">
        <v>4.785096541121802E-8</v>
      </c>
      <c r="I8" s="99">
        <v>6.6500867008834052E-9</v>
      </c>
      <c r="J8" s="100">
        <v>4.4689633788368939</v>
      </c>
      <c r="K8" s="100">
        <v>4.4689633788368939</v>
      </c>
      <c r="M8" s="167">
        <v>2</v>
      </c>
      <c r="N8" s="167">
        <v>60</v>
      </c>
      <c r="P8" s="93">
        <v>2.3925482705609012E-9</v>
      </c>
      <c r="Q8" s="93">
        <v>1.1083477834805675E-10</v>
      </c>
      <c r="R8" s="113">
        <v>0.17305960163923562</v>
      </c>
      <c r="S8" s="162"/>
      <c r="T8" s="162"/>
      <c r="U8" s="162"/>
      <c r="V8" s="162"/>
    </row>
    <row r="9" spans="1:26" x14ac:dyDescent="0.2">
      <c r="A9" s="92">
        <f t="shared" si="0"/>
        <v>5</v>
      </c>
      <c r="B9" s="95">
        <v>424.94054879999993</v>
      </c>
      <c r="C9" s="96">
        <v>3.7241361490307452</v>
      </c>
      <c r="D9" s="97">
        <v>0.86527798327933825</v>
      </c>
      <c r="E9" s="97">
        <v>0.74971439906494119</v>
      </c>
      <c r="F9" s="98">
        <v>3.4416913763379853E-15</v>
      </c>
      <c r="G9" s="98">
        <v>0</v>
      </c>
      <c r="H9" s="99">
        <v>1.4625142222612906E-12</v>
      </c>
      <c r="I9" s="99">
        <v>0</v>
      </c>
      <c r="J9" s="100">
        <v>3.7241361490307452</v>
      </c>
      <c r="K9" s="100">
        <v>3.7241361490307452</v>
      </c>
      <c r="M9" s="167">
        <v>1</v>
      </c>
      <c r="N9" s="167">
        <v>40</v>
      </c>
      <c r="P9" s="93">
        <v>7.3125711113064526E-14</v>
      </c>
      <c r="Q9" s="93">
        <v>0</v>
      </c>
      <c r="R9" s="113">
        <v>9.0312400531622233E-2</v>
      </c>
      <c r="S9" s="162"/>
      <c r="T9" s="162"/>
      <c r="U9" s="162"/>
      <c r="V9" s="162"/>
    </row>
    <row r="10" spans="1:26" x14ac:dyDescent="0.2">
      <c r="A10" s="92">
        <f t="shared" si="0"/>
        <v>6</v>
      </c>
      <c r="B10" s="95">
        <v>412.19233233599994</v>
      </c>
      <c r="C10" s="96">
        <v>2.9793089192245961</v>
      </c>
      <c r="D10" s="97">
        <v>0.88024681456977349</v>
      </c>
      <c r="E10" s="97">
        <v>0.75455994069194088</v>
      </c>
      <c r="F10" s="98">
        <v>0</v>
      </c>
      <c r="G10" s="98">
        <v>0</v>
      </c>
      <c r="H10" s="99">
        <v>0</v>
      </c>
      <c r="I10" s="99">
        <v>0</v>
      </c>
      <c r="J10" s="100">
        <v>2.9793089192245961</v>
      </c>
      <c r="K10" s="100">
        <v>2.9793089192245961</v>
      </c>
      <c r="M10" s="167">
        <v>0</v>
      </c>
      <c r="N10" s="167">
        <v>30</v>
      </c>
      <c r="P10" s="93">
        <v>0</v>
      </c>
      <c r="Q10" s="93">
        <v>0</v>
      </c>
      <c r="R10" s="113">
        <v>3.8273760574002648E-2</v>
      </c>
      <c r="S10" s="162"/>
      <c r="T10" s="162"/>
      <c r="U10" s="162"/>
      <c r="V10" s="162"/>
    </row>
    <row r="11" spans="1:26" x14ac:dyDescent="0.2">
      <c r="A11" s="92">
        <f t="shared" si="0"/>
        <v>7</v>
      </c>
      <c r="B11" s="95">
        <v>399.82656236591993</v>
      </c>
      <c r="C11" s="96">
        <v>2.2344816894184469</v>
      </c>
      <c r="D11" s="97">
        <v>0.89220846629140482</v>
      </c>
      <c r="E11" s="97">
        <v>0.75921627944816983</v>
      </c>
      <c r="F11" s="98">
        <v>0</v>
      </c>
      <c r="G11" s="98">
        <v>0</v>
      </c>
      <c r="H11" s="99">
        <v>0</v>
      </c>
      <c r="I11" s="99">
        <v>0</v>
      </c>
      <c r="J11" s="100">
        <v>2.2344816894184469</v>
      </c>
      <c r="K11" s="100">
        <v>2.2344816894184469</v>
      </c>
      <c r="M11" s="167">
        <v>0</v>
      </c>
      <c r="N11" s="167">
        <v>0</v>
      </c>
      <c r="P11" s="93">
        <v>0</v>
      </c>
      <c r="Q11" s="93">
        <v>0</v>
      </c>
      <c r="R11" s="113">
        <v>1.3305054264827634E-2</v>
      </c>
      <c r="S11" s="162"/>
      <c r="T11" s="162"/>
      <c r="U11" s="162"/>
      <c r="V11" s="162"/>
    </row>
    <row r="12" spans="1:26" x14ac:dyDescent="0.2">
      <c r="A12" s="92">
        <f t="shared" si="0"/>
        <v>8</v>
      </c>
      <c r="B12" s="95">
        <v>387.83176549494232</v>
      </c>
      <c r="C12" s="96">
        <v>1.489654459612298</v>
      </c>
      <c r="D12" s="97">
        <v>0.901989615306792</v>
      </c>
      <c r="E12" s="97">
        <v>0.76369460262678557</v>
      </c>
      <c r="F12" s="98">
        <v>0</v>
      </c>
      <c r="G12" s="98">
        <v>0</v>
      </c>
      <c r="H12" s="99">
        <v>0</v>
      </c>
      <c r="I12" s="99">
        <v>0</v>
      </c>
      <c r="J12" s="100">
        <v>1.489654459612298</v>
      </c>
      <c r="K12" s="100">
        <v>1.489654459612298</v>
      </c>
      <c r="M12" s="167">
        <v>0</v>
      </c>
      <c r="N12" s="167">
        <v>0</v>
      </c>
      <c r="P12" s="93">
        <v>0</v>
      </c>
      <c r="Q12" s="93">
        <v>0</v>
      </c>
      <c r="R12" s="113">
        <v>3.762793426053694E-3</v>
      </c>
      <c r="S12" s="162"/>
      <c r="T12" s="162"/>
      <c r="U12" s="162"/>
      <c r="V12" s="162"/>
    </row>
    <row r="13" spans="1:26" x14ac:dyDescent="0.2">
      <c r="A13" s="92">
        <f t="shared" si="0"/>
        <v>9</v>
      </c>
      <c r="B13" s="95">
        <v>376.19681253009406</v>
      </c>
      <c r="C13" s="96">
        <v>0.74482722980614902</v>
      </c>
      <c r="D13" s="97">
        <v>0.91013843019180352</v>
      </c>
      <c r="E13" s="97">
        <v>0.76800520720281207</v>
      </c>
      <c r="F13" s="98">
        <v>0</v>
      </c>
      <c r="G13" s="98">
        <v>0</v>
      </c>
      <c r="H13" s="99">
        <v>0</v>
      </c>
      <c r="I13" s="99">
        <v>0</v>
      </c>
      <c r="J13" s="100">
        <v>0.74482722980614902</v>
      </c>
      <c r="K13" s="100">
        <v>0.74482722980614902</v>
      </c>
      <c r="M13" s="167">
        <v>0</v>
      </c>
      <c r="N13" s="167">
        <v>0</v>
      </c>
      <c r="P13" s="93">
        <v>0</v>
      </c>
      <c r="Q13" s="93">
        <v>0</v>
      </c>
      <c r="R13" s="113">
        <v>8.6567367986730022E-4</v>
      </c>
      <c r="S13" s="162"/>
      <c r="T13" s="162"/>
      <c r="U13" s="162"/>
      <c r="V13" s="162"/>
    </row>
    <row r="14" spans="1:26" x14ac:dyDescent="0.2">
      <c r="A14" s="92">
        <f t="shared" si="0"/>
        <v>10</v>
      </c>
      <c r="B14" s="95">
        <v>364.91090815419125</v>
      </c>
      <c r="C14" s="96">
        <v>0</v>
      </c>
      <c r="D14" s="97">
        <v>0.91703306689768471</v>
      </c>
      <c r="E14" s="97">
        <v>0.77215758912764465</v>
      </c>
      <c r="F14" s="98">
        <v>0</v>
      </c>
      <c r="G14" s="98">
        <v>0</v>
      </c>
      <c r="H14" s="101">
        <v>0</v>
      </c>
      <c r="I14" s="101">
        <v>0</v>
      </c>
      <c r="J14" s="102">
        <v>0</v>
      </c>
      <c r="K14" s="102">
        <v>0</v>
      </c>
      <c r="M14" s="167">
        <v>0</v>
      </c>
      <c r="N14" s="167">
        <v>0</v>
      </c>
      <c r="P14" s="93">
        <v>0</v>
      </c>
      <c r="Q14" s="93">
        <v>0</v>
      </c>
      <c r="R14" s="113">
        <v>1.622307592595226E-4</v>
      </c>
      <c r="S14" s="162"/>
      <c r="T14" s="162"/>
      <c r="U14" s="162"/>
      <c r="V14" s="162"/>
    </row>
    <row r="15" spans="1:26" x14ac:dyDescent="0.2">
      <c r="B15" s="103"/>
      <c r="H15" s="104">
        <f>SUM(H5:H14)</f>
        <v>19.991251821978761</v>
      </c>
      <c r="I15" s="105">
        <f>SUM(I5:I14)</f>
        <v>59.984200173676498</v>
      </c>
      <c r="J15" s="106">
        <v>0.84416394734850497</v>
      </c>
      <c r="K15" s="106">
        <v>0.65933520687491765</v>
      </c>
      <c r="L15" s="228" t="s">
        <v>150</v>
      </c>
      <c r="M15" s="168">
        <f>SUM(M5:M14)</f>
        <v>10</v>
      </c>
      <c r="N15" s="168">
        <f>SUM(N5:N14)</f>
        <v>300</v>
      </c>
      <c r="T15" s="162"/>
      <c r="U15" s="162"/>
      <c r="V15" s="162"/>
    </row>
    <row r="16" spans="1:26" x14ac:dyDescent="0.2">
      <c r="C16" s="113"/>
      <c r="H16" s="3" t="s">
        <v>44</v>
      </c>
      <c r="I16" s="3" t="s">
        <v>44</v>
      </c>
      <c r="J16" s="107">
        <v>1.0086744960058756</v>
      </c>
      <c r="K16" s="108">
        <v>1.0097929579855027</v>
      </c>
      <c r="L16" s="109" t="s">
        <v>45</v>
      </c>
      <c r="M16" s="109"/>
      <c r="N16" s="110"/>
      <c r="Q16" s="186">
        <v>0</v>
      </c>
      <c r="R16" s="186">
        <v>0.19874809714192404</v>
      </c>
      <c r="S16" s="186">
        <v>0.1413811454206417</v>
      </c>
      <c r="T16" s="186">
        <v>8.6529800819617808E-2</v>
      </c>
      <c r="U16" s="186">
        <v>4.5156200265811117E-2</v>
      </c>
      <c r="V16" s="186">
        <v>1.9136880287001324E-2</v>
      </c>
      <c r="W16" s="186">
        <v>6.652527132413817E-3</v>
      </c>
      <c r="X16" s="186">
        <v>1.881396713026847E-3</v>
      </c>
      <c r="Y16" s="186">
        <v>4.3283683993365011E-4</v>
      </c>
      <c r="Z16" s="186">
        <v>8.11153796297613E-5</v>
      </c>
    </row>
    <row r="17" spans="1:26" x14ac:dyDescent="0.2">
      <c r="B17" s="189"/>
      <c r="J17" s="189"/>
      <c r="K17" s="189"/>
      <c r="L17" s="189"/>
      <c r="M17" s="189"/>
      <c r="T17" s="162"/>
      <c r="U17" s="162"/>
      <c r="V17" s="162"/>
    </row>
    <row r="18" spans="1:26" x14ac:dyDescent="0.2">
      <c r="B18" s="189"/>
      <c r="J18" s="189"/>
      <c r="K18" s="189"/>
      <c r="L18" s="189"/>
    </row>
    <row r="19" spans="1:26" x14ac:dyDescent="0.2">
      <c r="A19" s="189"/>
      <c r="B19" s="189"/>
      <c r="C19" s="189"/>
      <c r="D19" s="189"/>
      <c r="E19" s="189"/>
      <c r="F19" s="189"/>
      <c r="G19" s="189"/>
      <c r="H19" s="189"/>
      <c r="J19" s="111" t="s">
        <v>47</v>
      </c>
      <c r="K19" s="111"/>
      <c r="L19" s="112">
        <f>Q22</f>
        <v>0.74487163578008564</v>
      </c>
      <c r="M19" s="111" t="s">
        <v>48</v>
      </c>
      <c r="N19" s="230" t="e">
        <f>L19/ControlCenter!#REF!</f>
        <v>#REF!</v>
      </c>
      <c r="O19" s="231" t="s">
        <v>151</v>
      </c>
      <c r="P19" s="111"/>
    </row>
    <row r="20" spans="1:26" x14ac:dyDescent="0.2">
      <c r="A20" s="189"/>
      <c r="B20" s="189"/>
      <c r="C20" s="189"/>
      <c r="D20" s="189"/>
      <c r="E20" s="189"/>
      <c r="F20" s="189"/>
      <c r="G20" s="189"/>
      <c r="H20" s="189"/>
      <c r="M20" s="111" t="s">
        <v>48</v>
      </c>
      <c r="N20" s="230" t="e">
        <f>L19/(ControlCenter!#REF!*ControlCenter!M19)</f>
        <v>#REF!</v>
      </c>
      <c r="O20" s="231" t="s">
        <v>152</v>
      </c>
      <c r="P20" s="111"/>
    </row>
    <row r="21" spans="1:26" x14ac:dyDescent="0.2">
      <c r="A21" s="189"/>
      <c r="B21" s="189"/>
      <c r="C21" s="189"/>
      <c r="D21" s="189"/>
      <c r="E21" s="189"/>
      <c r="F21" s="189"/>
      <c r="G21" s="189"/>
      <c r="H21" s="189"/>
      <c r="L21" t="s">
        <v>38</v>
      </c>
      <c r="M21" t="s">
        <v>39</v>
      </c>
    </row>
    <row r="22" spans="1:26" x14ac:dyDescent="0.2">
      <c r="A22" s="189"/>
      <c r="B22" s="189"/>
      <c r="C22" s="189"/>
      <c r="D22" s="189"/>
      <c r="E22" s="189"/>
      <c r="F22" s="189"/>
      <c r="G22" s="189"/>
      <c r="H22" s="189"/>
      <c r="J22" t="s">
        <v>52</v>
      </c>
      <c r="L22" s="142">
        <v>0.84416394734850497</v>
      </c>
      <c r="M22" s="142">
        <v>0.65933520687491765</v>
      </c>
      <c r="N22" s="3" t="str">
        <f>"="</f>
        <v>=</v>
      </c>
      <c r="O22" s="142">
        <f>AVERAGE(L22:M22)</f>
        <v>0.75174957711171131</v>
      </c>
      <c r="P22" s="3" t="str">
        <f>"="</f>
        <v>=</v>
      </c>
      <c r="Q22">
        <f>O22/O23</f>
        <v>0.74487163578008564</v>
      </c>
      <c r="R22" s="149" t="s">
        <v>74</v>
      </c>
    </row>
    <row r="23" spans="1:26" x14ac:dyDescent="0.2">
      <c r="A23" s="189"/>
      <c r="B23" s="189"/>
      <c r="C23" s="189"/>
      <c r="D23" s="189"/>
      <c r="E23" s="189"/>
      <c r="F23" s="189"/>
      <c r="G23" s="189"/>
      <c r="H23" s="189"/>
      <c r="J23" t="s">
        <v>53</v>
      </c>
      <c r="L23" s="113">
        <v>1.0086744960058756</v>
      </c>
      <c r="M23" s="113">
        <v>1.0097929579855027</v>
      </c>
      <c r="O23" s="113">
        <f>AVERAGE(L23:M23)</f>
        <v>1.009233726995689</v>
      </c>
    </row>
    <row r="24" spans="1:26" x14ac:dyDescent="0.2">
      <c r="A24" s="189"/>
      <c r="B24" s="189"/>
      <c r="C24" s="189"/>
      <c r="D24" s="189"/>
      <c r="E24" s="189"/>
      <c r="F24" s="189"/>
      <c r="G24" s="189"/>
      <c r="H24" s="189"/>
    </row>
    <row r="25" spans="1:26" x14ac:dyDescent="0.2">
      <c r="A25" s="189"/>
      <c r="B25" s="189"/>
      <c r="C25" s="189"/>
      <c r="D25" s="189"/>
      <c r="E25" s="189"/>
      <c r="F25" s="189"/>
      <c r="G25" s="189"/>
      <c r="H25" s="189"/>
      <c r="J25" s="189"/>
      <c r="K25" s="189"/>
      <c r="L25" s="189"/>
      <c r="P25" s="189"/>
      <c r="S25" t="s">
        <v>10</v>
      </c>
    </row>
    <row r="26" spans="1:26" x14ac:dyDescent="0.2">
      <c r="A26" s="189"/>
      <c r="B26" s="189"/>
      <c r="C26" s="189"/>
      <c r="D26" s="189"/>
      <c r="E26" s="189"/>
      <c r="F26" s="189"/>
      <c r="G26" s="189"/>
      <c r="H26" s="189"/>
      <c r="J26" s="189"/>
      <c r="K26" s="189"/>
      <c r="L26" s="189"/>
      <c r="M26" s="189"/>
      <c r="N26" s="189">
        <v>5</v>
      </c>
      <c r="P26" s="189"/>
      <c r="Q26" s="113"/>
      <c r="S26" t="s">
        <v>10</v>
      </c>
    </row>
    <row r="27" spans="1:26" x14ac:dyDescent="0.2">
      <c r="A27" s="189"/>
      <c r="B27" s="189"/>
      <c r="C27" s="189"/>
      <c r="D27" s="189"/>
      <c r="E27" s="189"/>
      <c r="F27" s="189"/>
      <c r="G27" s="189"/>
      <c r="H27" s="189"/>
      <c r="J27" s="189">
        <f t="array" ref="J27">MMULT(TRANSPOSE(P5:P14),J5:J14)</f>
        <v>7.5378900741731192</v>
      </c>
      <c r="K27" s="189"/>
      <c r="L27" s="189"/>
      <c r="M27" s="189"/>
      <c r="N27" s="189"/>
      <c r="P27" s="189"/>
      <c r="S27" t="s">
        <v>10</v>
      </c>
    </row>
    <row r="28" spans="1:26" x14ac:dyDescent="0.2">
      <c r="A28" s="189"/>
      <c r="B28" s="189"/>
      <c r="C28" s="189"/>
      <c r="D28" s="189"/>
      <c r="E28" s="189"/>
      <c r="F28" s="189"/>
      <c r="G28" s="189"/>
      <c r="H28" s="189"/>
      <c r="J28" s="189"/>
      <c r="K28" s="189"/>
      <c r="L28" s="189"/>
    </row>
    <row r="29" spans="1:26" x14ac:dyDescent="0.2">
      <c r="F29" s="189"/>
      <c r="G29" s="189"/>
      <c r="J29" s="189"/>
      <c r="K29" s="189"/>
      <c r="L29" s="189"/>
    </row>
    <row r="30" spans="1:26" x14ac:dyDescent="0.2">
      <c r="F30" s="189"/>
      <c r="G30" s="189"/>
      <c r="J30" s="189"/>
      <c r="K30" s="189"/>
      <c r="L30" s="189"/>
      <c r="N30" s="189"/>
      <c r="O30" s="189"/>
    </row>
    <row r="31" spans="1:26" x14ac:dyDescent="0.2">
      <c r="A31" s="133"/>
      <c r="F31" s="189"/>
      <c r="G31" s="189"/>
      <c r="J31" s="189"/>
      <c r="K31" s="189"/>
      <c r="L31" s="189"/>
      <c r="V31" s="171">
        <v>22</v>
      </c>
      <c r="W31" s="171">
        <v>23</v>
      </c>
      <c r="X31" s="171">
        <v>24</v>
      </c>
      <c r="Y31" s="171">
        <v>25</v>
      </c>
      <c r="Z31">
        <v>26</v>
      </c>
    </row>
    <row r="32" spans="1:26" x14ac:dyDescent="0.2">
      <c r="A32" s="133"/>
      <c r="J32" s="189"/>
      <c r="K32" s="189"/>
      <c r="L32" s="189"/>
    </row>
    <row r="33" spans="1:28" x14ac:dyDescent="0.2">
      <c r="A33" s="148"/>
    </row>
    <row r="34" spans="1:28" x14ac:dyDescent="0.2">
      <c r="A34" s="133"/>
      <c r="B34" s="3" t="s">
        <v>66</v>
      </c>
      <c r="C34" s="3"/>
      <c r="D34" s="163" t="s">
        <v>73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173"/>
      <c r="R34" s="173"/>
      <c r="S34" s="173"/>
      <c r="T34" s="173"/>
      <c r="U34" s="173"/>
      <c r="V34" s="3"/>
    </row>
    <row r="35" spans="1:28" x14ac:dyDescent="0.2">
      <c r="A35" s="13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173"/>
      <c r="R35" s="173"/>
      <c r="S35" s="173"/>
      <c r="T35" s="173"/>
      <c r="U35" s="173"/>
      <c r="V35" s="174" t="s">
        <v>75</v>
      </c>
      <c r="W35" s="174" t="s">
        <v>75</v>
      </c>
      <c r="X35" s="174" t="s">
        <v>75</v>
      </c>
    </row>
    <row r="36" spans="1:28" x14ac:dyDescent="0.2">
      <c r="A36" s="133" t="s">
        <v>61</v>
      </c>
      <c r="B36" s="3">
        <v>1</v>
      </c>
      <c r="C36" s="3">
        <v>2</v>
      </c>
      <c r="D36" s="3">
        <v>3</v>
      </c>
      <c r="E36" s="3">
        <v>4</v>
      </c>
      <c r="F36" s="3">
        <v>5</v>
      </c>
      <c r="G36" s="3">
        <v>6</v>
      </c>
      <c r="H36" s="3">
        <v>7</v>
      </c>
      <c r="I36" s="3">
        <v>8</v>
      </c>
      <c r="J36" s="185"/>
      <c r="K36" s="3"/>
      <c r="L36" s="3"/>
      <c r="M36" s="3"/>
      <c r="N36" s="3"/>
      <c r="O36" s="3"/>
      <c r="P36" s="3"/>
      <c r="Q36" s="173"/>
      <c r="R36" s="173"/>
      <c r="S36" s="173"/>
      <c r="T36" s="173"/>
      <c r="U36" s="173">
        <v>10</v>
      </c>
      <c r="V36" s="174" t="s">
        <v>38</v>
      </c>
      <c r="W36" s="174" t="s">
        <v>39</v>
      </c>
      <c r="X36" s="175" t="s">
        <v>63</v>
      </c>
      <c r="Z36" s="133" t="s">
        <v>10</v>
      </c>
      <c r="AA36" s="133"/>
      <c r="AB36" s="133"/>
    </row>
    <row r="37" spans="1:28" x14ac:dyDescent="0.2">
      <c r="A37" s="133" t="s">
        <v>50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3">
        <v>1</v>
      </c>
      <c r="I37" s="3">
        <v>1</v>
      </c>
      <c r="J37" s="185"/>
      <c r="K37" s="3"/>
      <c r="L37" s="3"/>
      <c r="M37" s="3"/>
      <c r="N37" s="3"/>
      <c r="O37" s="3"/>
      <c r="P37" s="3"/>
      <c r="Q37" s="173"/>
      <c r="R37" s="173"/>
      <c r="S37" s="173"/>
      <c r="T37" s="173"/>
      <c r="U37" s="173">
        <v>2</v>
      </c>
      <c r="V37" s="174" t="s">
        <v>76</v>
      </c>
      <c r="W37" s="174" t="s">
        <v>76</v>
      </c>
      <c r="X37" s="174" t="s">
        <v>76</v>
      </c>
    </row>
    <row r="38" spans="1:28" x14ac:dyDescent="0.2">
      <c r="A38" s="133" t="s">
        <v>72</v>
      </c>
      <c r="B38" s="3">
        <v>0</v>
      </c>
      <c r="C38" s="3">
        <v>0.52250078741684247</v>
      </c>
      <c r="D38" s="3">
        <v>0.3119981529907655</v>
      </c>
      <c r="E38" s="3">
        <v>0.117404199200891</v>
      </c>
      <c r="F38" s="3">
        <v>3.6100716046654588E-2</v>
      </c>
      <c r="G38" s="3">
        <v>9.4091456147256929E-3</v>
      </c>
      <c r="H38" s="3">
        <v>2.098960825521808E-3</v>
      </c>
      <c r="I38" s="3">
        <v>4.0201593816721089E-4</v>
      </c>
      <c r="J38" s="185"/>
      <c r="K38" s="3"/>
      <c r="L38" s="3"/>
      <c r="M38" s="3"/>
      <c r="N38" s="3"/>
      <c r="O38" s="3"/>
      <c r="P38" s="3"/>
      <c r="Q38" s="173"/>
      <c r="R38" s="173"/>
      <c r="S38" s="173"/>
      <c r="T38" s="173"/>
      <c r="U38" s="173">
        <v>8.8222974492180303E-6</v>
      </c>
      <c r="V38">
        <v>2.7061693673631386</v>
      </c>
      <c r="W38">
        <v>5.4040262301367532</v>
      </c>
      <c r="X38">
        <v>2.7399050071456501</v>
      </c>
    </row>
    <row r="39" spans="1:28" x14ac:dyDescent="0.2">
      <c r="A39" s="133" t="s">
        <v>69</v>
      </c>
      <c r="B39" s="3">
        <v>0</v>
      </c>
      <c r="C39" s="3">
        <v>2.2642461813549835</v>
      </c>
      <c r="D39" s="3">
        <v>2.3842727520133931</v>
      </c>
      <c r="E39" s="3">
        <v>2.572001032246964</v>
      </c>
      <c r="F39" s="3">
        <v>2.5501464396090956</v>
      </c>
      <c r="G39" s="3">
        <v>1.5673916102080563</v>
      </c>
      <c r="H39" s="3">
        <v>0</v>
      </c>
      <c r="I39" s="3">
        <v>0</v>
      </c>
      <c r="J39" s="185"/>
      <c r="K39" s="3"/>
      <c r="L39" s="3"/>
      <c r="M39" s="3"/>
      <c r="N39" s="3"/>
      <c r="O39" s="3"/>
      <c r="P39" s="3"/>
      <c r="Q39" s="173"/>
      <c r="R39" s="173"/>
      <c r="S39" s="173"/>
      <c r="T39" s="173"/>
      <c r="U39" s="173">
        <v>0</v>
      </c>
      <c r="V39" s="174" t="s">
        <v>31</v>
      </c>
      <c r="W39" s="174" t="s">
        <v>31</v>
      </c>
      <c r="X39" s="174" t="s">
        <v>31</v>
      </c>
    </row>
    <row r="40" spans="1:28" s="159" customFormat="1" x14ac:dyDescent="0.2">
      <c r="A40" s="191" t="s">
        <v>71</v>
      </c>
      <c r="B40" s="147">
        <v>0.61574773080172651</v>
      </c>
      <c r="C40" s="147">
        <v>0.61576018143205968</v>
      </c>
      <c r="D40" s="147">
        <v>0.72236387982993988</v>
      </c>
      <c r="E40" s="147">
        <v>0.75954951348607891</v>
      </c>
      <c r="F40" s="147">
        <v>0.77865004331865872</v>
      </c>
      <c r="G40" s="147">
        <v>0.79031061970869454</v>
      </c>
      <c r="H40" s="147">
        <v>0.79817856332248938</v>
      </c>
      <c r="I40" s="147">
        <v>0.80384856655697878</v>
      </c>
      <c r="J40" s="192"/>
      <c r="K40" s="147"/>
      <c r="L40" s="147"/>
      <c r="M40" s="147"/>
      <c r="N40" s="147"/>
      <c r="O40" s="147"/>
      <c r="P40" s="147"/>
      <c r="U40" s="159">
        <v>0.59226778024253546</v>
      </c>
      <c r="V40" s="159">
        <v>0.67389123360162406</v>
      </c>
      <c r="W40" s="159">
        <v>0.63871808696209464</v>
      </c>
      <c r="X40" s="147">
        <v>0.59350599090113376</v>
      </c>
    </row>
    <row r="41" spans="1:28" x14ac:dyDescent="0.2">
      <c r="A41" s="189"/>
      <c r="B41" s="189"/>
      <c r="C41" s="189"/>
      <c r="D41" s="189"/>
      <c r="E41" s="189"/>
      <c r="F41" s="189"/>
      <c r="G41" s="189"/>
      <c r="H41" s="189"/>
      <c r="I41" s="3"/>
      <c r="J41" s="189"/>
      <c r="K41" s="189"/>
      <c r="L41" s="3"/>
      <c r="M41" s="3"/>
      <c r="N41" s="3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</row>
    <row r="42" spans="1:28" x14ac:dyDescent="0.2">
      <c r="A42" s="189" t="s">
        <v>237</v>
      </c>
      <c r="B42" s="189"/>
      <c r="C42" s="189"/>
      <c r="D42" s="189"/>
      <c r="E42" s="189"/>
      <c r="F42" s="189"/>
      <c r="G42" s="189"/>
      <c r="H42" s="189"/>
      <c r="I42" s="3"/>
      <c r="J42" s="189"/>
      <c r="K42" s="189"/>
      <c r="L42" s="3"/>
      <c r="M42" s="3"/>
      <c r="N42" s="3"/>
      <c r="O42" s="189"/>
      <c r="P42" s="189"/>
      <c r="Q42" s="189"/>
      <c r="R42" s="189"/>
      <c r="S42" s="189"/>
      <c r="T42" s="189"/>
      <c r="U42" s="189"/>
      <c r="V42" s="189">
        <v>0.93776679106865968</v>
      </c>
      <c r="W42" s="189">
        <v>0.73298556278459281</v>
      </c>
      <c r="X42" s="189">
        <v>0.82773311531452076</v>
      </c>
      <c r="Y42" s="189"/>
      <c r="Z42" s="189"/>
    </row>
    <row r="43" spans="1:28" x14ac:dyDescent="0.2">
      <c r="A43" s="189" t="s">
        <v>238</v>
      </c>
      <c r="B43" s="189"/>
      <c r="C43" s="189"/>
      <c r="D43" s="189"/>
      <c r="E43" s="189"/>
      <c r="F43" s="189"/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  <c r="R43" s="189"/>
      <c r="S43" s="189"/>
      <c r="T43" s="189"/>
      <c r="U43" s="189"/>
      <c r="V43" s="189">
        <v>-9.3602843720154705E-2</v>
      </c>
      <c r="W43" s="189">
        <v>-7.3650355909675155E-2</v>
      </c>
      <c r="X43" s="189">
        <v>-8.2861479534435095E-2</v>
      </c>
      <c r="Y43" s="189"/>
      <c r="Z43" s="189"/>
    </row>
    <row r="44" spans="1:28" x14ac:dyDescent="0.2">
      <c r="A44" s="189" t="s">
        <v>110</v>
      </c>
      <c r="B44" s="189"/>
      <c r="C44" s="189"/>
      <c r="D44" s="189"/>
      <c r="E44" s="189"/>
      <c r="F44" s="189"/>
      <c r="G44" s="189"/>
      <c r="H44" s="189"/>
      <c r="I44" s="3"/>
      <c r="J44" s="189"/>
      <c r="K44" s="189"/>
      <c r="L44" s="3"/>
      <c r="M44" s="3"/>
      <c r="N44" s="3"/>
      <c r="O44" s="189"/>
      <c r="P44" s="189"/>
      <c r="Q44" s="189"/>
      <c r="R44" s="189"/>
      <c r="S44" s="189"/>
      <c r="T44" s="189"/>
      <c r="U44" s="189"/>
      <c r="V44" s="189">
        <v>2.4715333198008671</v>
      </c>
      <c r="W44" s="189">
        <v>0.59185643685410116</v>
      </c>
      <c r="X44" s="189">
        <v>0.38028757350038989</v>
      </c>
      <c r="Y44" s="189"/>
      <c r="Z44" s="189"/>
    </row>
    <row r="45" spans="1:28" x14ac:dyDescent="0.2">
      <c r="A45" s="189" t="s">
        <v>115</v>
      </c>
      <c r="B45" s="189"/>
      <c r="C45" s="189"/>
      <c r="D45" s="189"/>
      <c r="E45" s="189"/>
      <c r="F45" s="189"/>
      <c r="G45" s="189"/>
      <c r="H45" s="189"/>
      <c r="I45" s="3"/>
      <c r="J45" s="189"/>
      <c r="K45" s="189"/>
      <c r="L45" s="3"/>
      <c r="M45" s="3"/>
      <c r="N45" s="3"/>
      <c r="O45" s="189"/>
      <c r="P45" s="189"/>
      <c r="Q45" s="189"/>
      <c r="R45" s="189"/>
      <c r="S45" s="189"/>
      <c r="T45" s="189"/>
      <c r="U45" s="189"/>
      <c r="V45" s="189">
        <v>0.16620342942692545</v>
      </c>
      <c r="W45" s="189">
        <v>3.5646067832426742E-2</v>
      </c>
      <c r="X45" s="189">
        <v>2.5057489128921924E-2</v>
      </c>
      <c r="Y45" s="189"/>
      <c r="Z45" s="189"/>
    </row>
    <row r="46" spans="1:28" x14ac:dyDescent="0.2">
      <c r="A46" s="189" t="s">
        <v>113</v>
      </c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>
        <v>-2.2951852446444588E-2</v>
      </c>
      <c r="W46" s="189">
        <v>-3.4564015330118231E-3</v>
      </c>
      <c r="X46" s="189">
        <v>-3.2783065897548517E-3</v>
      </c>
      <c r="Y46" s="189"/>
      <c r="Z46" s="189"/>
    </row>
    <row r="47" spans="1:28" x14ac:dyDescent="0.2">
      <c r="A47" s="189" t="s">
        <v>107</v>
      </c>
      <c r="B47" s="189"/>
      <c r="C47" s="189"/>
      <c r="D47" s="189"/>
      <c r="E47" s="189"/>
      <c r="F47" s="189"/>
      <c r="G47" s="189"/>
      <c r="H47" s="189"/>
      <c r="I47" s="3"/>
      <c r="J47" s="189"/>
      <c r="K47" s="189"/>
      <c r="L47" s="3"/>
      <c r="M47" s="3"/>
      <c r="N47" s="3"/>
      <c r="O47" s="189"/>
      <c r="P47" s="189"/>
      <c r="Q47" s="189"/>
      <c r="R47" s="189"/>
      <c r="S47" s="189"/>
      <c r="T47" s="189"/>
      <c r="U47" s="189"/>
      <c r="V47" s="189">
        <v>0.14890852843914587</v>
      </c>
      <c r="W47" s="189">
        <v>3.8373989874778192E-2</v>
      </c>
      <c r="X47" s="189">
        <v>2.3249152117820509E-2</v>
      </c>
      <c r="Y47" s="189"/>
      <c r="Z47" s="189"/>
    </row>
    <row r="48" spans="1:28" x14ac:dyDescent="0.2">
      <c r="A48" s="189" t="s">
        <v>111</v>
      </c>
      <c r="B48" s="189"/>
      <c r="C48" s="189"/>
      <c r="D48" s="189"/>
      <c r="E48" s="189"/>
      <c r="F48" s="189"/>
      <c r="G48" s="189"/>
      <c r="H48" s="189"/>
      <c r="I48" s="3"/>
      <c r="J48" s="189"/>
      <c r="K48" s="189"/>
      <c r="L48" s="3"/>
      <c r="M48" s="3"/>
      <c r="N48" s="3"/>
      <c r="O48" s="189"/>
      <c r="P48" s="189"/>
      <c r="Q48" s="189"/>
      <c r="R48" s="189"/>
      <c r="S48" s="189"/>
      <c r="T48" s="189"/>
      <c r="U48" s="189"/>
      <c r="V48" s="189">
        <v>3.894265006855548</v>
      </c>
      <c r="W48" s="189">
        <v>0.96783581860900825</v>
      </c>
      <c r="X48" s="189">
        <v>0.60357860798266438</v>
      </c>
      <c r="Y48" s="189"/>
      <c r="Z48" s="189"/>
    </row>
    <row r="49" spans="1:26" x14ac:dyDescent="0.2">
      <c r="A49" s="189" t="s">
        <v>116</v>
      </c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>
        <v>0.22996934556927612</v>
      </c>
      <c r="W49" s="189">
        <v>5.2362378401760834E-2</v>
      </c>
      <c r="X49" s="189">
        <v>3.5048509905695406E-2</v>
      </c>
      <c r="Y49" s="189"/>
      <c r="Z49" s="189"/>
    </row>
    <row r="50" spans="1:26" x14ac:dyDescent="0.2">
      <c r="A50" s="189" t="s">
        <v>114</v>
      </c>
      <c r="B50" s="189"/>
      <c r="C50" s="189"/>
      <c r="D50" s="189"/>
      <c r="E50" s="189"/>
      <c r="F50" s="189"/>
      <c r="G50" s="189"/>
      <c r="H50" s="189"/>
      <c r="I50" s="3"/>
      <c r="J50" s="189"/>
      <c r="K50" s="189"/>
      <c r="L50" s="3"/>
      <c r="M50" s="3"/>
      <c r="N50" s="3"/>
      <c r="O50" s="189"/>
      <c r="P50" s="189"/>
      <c r="Q50" s="189"/>
      <c r="R50" s="189"/>
      <c r="S50" s="189"/>
      <c r="T50" s="189"/>
      <c r="U50" s="189"/>
      <c r="V50" s="189">
        <v>-1.5944874733888791E-2</v>
      </c>
      <c r="W50" s="189">
        <v>1.4318858533331498E-4</v>
      </c>
      <c r="X50" s="189">
        <v>-1.9616129059628834E-3</v>
      </c>
      <c r="Y50" s="189"/>
      <c r="Z50" s="189"/>
    </row>
    <row r="51" spans="1:26" x14ac:dyDescent="0.2">
      <c r="A51" s="189" t="s">
        <v>119</v>
      </c>
      <c r="B51" s="189"/>
      <c r="C51" s="189"/>
      <c r="D51" s="189"/>
      <c r="E51" s="189"/>
      <c r="F51" s="189"/>
      <c r="G51" s="189"/>
      <c r="H51" s="189"/>
      <c r="I51" s="3"/>
      <c r="J51" s="189"/>
      <c r="K51" s="189"/>
      <c r="L51" s="3"/>
      <c r="M51" s="3"/>
      <c r="N51" s="3"/>
      <c r="O51" s="189"/>
      <c r="P51" s="189"/>
      <c r="Q51" s="189"/>
      <c r="R51" s="189"/>
      <c r="S51" s="189"/>
      <c r="T51" s="189"/>
      <c r="U51" s="189"/>
      <c r="V51" s="189">
        <v>0.24368420654957443</v>
      </c>
      <c r="W51" s="189">
        <v>6.4815073059259917E-2</v>
      </c>
      <c r="X51" s="189">
        <v>3.8296936331459953E-2</v>
      </c>
      <c r="Y51" s="189"/>
      <c r="Z51" s="189"/>
    </row>
    <row r="52" spans="1:26" x14ac:dyDescent="0.2">
      <c r="A52" s="189" t="s">
        <v>117</v>
      </c>
      <c r="B52" s="189"/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>
        <v>5.6548359178060776</v>
      </c>
      <c r="W52" s="189">
        <v>1.5552323492466287</v>
      </c>
      <c r="X52" s="189">
        <v>0.89505403616796675</v>
      </c>
      <c r="Y52" s="189"/>
      <c r="Z52" s="189"/>
    </row>
    <row r="53" spans="1:26" x14ac:dyDescent="0.2">
      <c r="A53" s="189" t="s">
        <v>97</v>
      </c>
      <c r="B53" s="189"/>
      <c r="C53" s="189"/>
      <c r="D53" s="189"/>
      <c r="E53" s="189"/>
      <c r="F53" s="189"/>
      <c r="G53" s="189"/>
      <c r="H53" s="189"/>
      <c r="I53" s="3"/>
      <c r="J53" s="189"/>
      <c r="K53" s="189"/>
      <c r="L53" s="3"/>
      <c r="M53" s="3"/>
      <c r="N53" s="3"/>
      <c r="O53" s="189"/>
      <c r="P53" s="189"/>
      <c r="Q53" s="189"/>
      <c r="R53" s="189"/>
      <c r="S53" s="189"/>
      <c r="T53" s="189"/>
      <c r="U53" s="189"/>
      <c r="V53" s="189">
        <v>6.7656917425510521</v>
      </c>
      <c r="W53" s="189">
        <v>1.7951501960039942</v>
      </c>
      <c r="X53" s="189">
        <v>1.0627383606219165</v>
      </c>
      <c r="Y53" s="189"/>
      <c r="Z53" s="189"/>
    </row>
    <row r="54" spans="1:26" x14ac:dyDescent="0.2">
      <c r="A54" s="189" t="s">
        <v>99</v>
      </c>
      <c r="B54" s="189"/>
      <c r="C54" s="189"/>
      <c r="D54" s="189"/>
      <c r="E54" s="189"/>
      <c r="F54" s="189"/>
      <c r="G54" s="189"/>
      <c r="H54" s="189"/>
      <c r="I54" s="3"/>
      <c r="J54" s="189"/>
      <c r="K54" s="189"/>
      <c r="L54" s="3"/>
      <c r="M54" s="3"/>
      <c r="N54" s="3"/>
      <c r="O54" s="189"/>
      <c r="P54" s="189"/>
      <c r="Q54" s="189"/>
      <c r="R54" s="189"/>
      <c r="S54" s="189"/>
      <c r="T54" s="189"/>
      <c r="U54" s="189"/>
      <c r="V54" s="189">
        <v>-8.9296421262270206E-2</v>
      </c>
      <c r="W54" s="189">
        <v>-2.9661105819460337E-2</v>
      </c>
      <c r="X54" s="189">
        <v>-1.476732408118887E-2</v>
      </c>
      <c r="Y54" s="189"/>
      <c r="Z54" s="189"/>
    </row>
    <row r="55" spans="1:26" x14ac:dyDescent="0.2">
      <c r="A55" s="189" t="s">
        <v>101</v>
      </c>
      <c r="B55" s="189"/>
      <c r="C55" s="189"/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89"/>
      <c r="U55" s="189"/>
      <c r="V55" s="189">
        <v>5.337332164036751E-2</v>
      </c>
      <c r="W55" s="189">
        <v>3.1314442959784354E-2</v>
      </c>
      <c r="X55" s="189">
        <v>1.0513094011298975E-2</v>
      </c>
      <c r="Y55" s="189"/>
      <c r="Z55" s="189"/>
    </row>
    <row r="56" spans="1:26" x14ac:dyDescent="0.2">
      <c r="A56" s="189" t="s">
        <v>103</v>
      </c>
      <c r="B56" s="189"/>
      <c r="C56" s="189"/>
      <c r="D56" s="189"/>
      <c r="E56" s="189"/>
      <c r="F56" s="189"/>
      <c r="G56" s="189"/>
      <c r="H56" s="189"/>
      <c r="I56" s="3"/>
      <c r="J56" s="189"/>
      <c r="K56" s="189"/>
      <c r="L56" s="3"/>
      <c r="M56" s="3"/>
      <c r="N56" s="3"/>
      <c r="O56" s="189"/>
      <c r="P56" s="189"/>
      <c r="Q56" s="189"/>
      <c r="R56" s="189"/>
      <c r="S56" s="189"/>
      <c r="T56" s="189"/>
      <c r="U56" s="189"/>
      <c r="V56" s="189">
        <v>1.0433770819149311</v>
      </c>
      <c r="W56" s="189">
        <v>0.30970269753440294</v>
      </c>
      <c r="X56" s="189">
        <v>0.16797060346676126</v>
      </c>
      <c r="Y56" s="189"/>
      <c r="Z56" s="189"/>
    </row>
    <row r="57" spans="1:26" x14ac:dyDescent="0.2">
      <c r="A57" s="189" t="s">
        <v>105</v>
      </c>
      <c r="B57" s="189"/>
      <c r="C57" s="189"/>
      <c r="D57" s="189"/>
      <c r="E57" s="189"/>
      <c r="F57" s="189"/>
      <c r="G57" s="189"/>
      <c r="H57" s="189"/>
      <c r="I57" s="3"/>
      <c r="J57" s="189"/>
      <c r="K57" s="189"/>
      <c r="L57" s="3"/>
      <c r="M57" s="3"/>
      <c r="N57" s="3"/>
      <c r="O57" s="189"/>
      <c r="P57" s="189"/>
      <c r="Q57" s="189"/>
      <c r="R57" s="189"/>
      <c r="S57" s="189"/>
      <c r="T57" s="189"/>
      <c r="U57" s="189"/>
      <c r="V57" s="189">
        <v>0.91566432997507696</v>
      </c>
      <c r="W57" s="189">
        <v>-2.981027671818186E-3</v>
      </c>
      <c r="X57" s="189">
        <v>0.11330001925260116</v>
      </c>
      <c r="Y57" s="189"/>
      <c r="Z57" s="189"/>
    </row>
    <row r="58" spans="1:26" x14ac:dyDescent="0.2">
      <c r="A58" s="189" t="s">
        <v>92</v>
      </c>
      <c r="B58" s="189"/>
      <c r="C58" s="189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89"/>
      <c r="U58" s="189"/>
      <c r="V58" s="189">
        <v>0</v>
      </c>
      <c r="W58" s="189">
        <v>0</v>
      </c>
      <c r="X58" s="189">
        <v>0</v>
      </c>
      <c r="Y58" s="189"/>
      <c r="Z58" s="189"/>
    </row>
    <row r="59" spans="1:26" x14ac:dyDescent="0.2">
      <c r="A59" s="189" t="s">
        <v>93</v>
      </c>
      <c r="B59" s="189"/>
      <c r="C59" s="189"/>
      <c r="D59" s="189"/>
      <c r="E59" s="189"/>
      <c r="F59" s="189"/>
      <c r="G59" s="189"/>
      <c r="H59" s="189"/>
      <c r="I59" s="3"/>
      <c r="J59" s="189"/>
      <c r="K59" s="189"/>
      <c r="L59" s="3"/>
      <c r="M59" s="3"/>
      <c r="N59" s="3"/>
      <c r="O59" s="189"/>
      <c r="P59" s="189"/>
      <c r="Q59" s="189"/>
      <c r="R59" s="189"/>
      <c r="S59" s="189"/>
      <c r="T59" s="189"/>
      <c r="U59" s="189"/>
      <c r="V59" s="189">
        <v>0.48951246727222114</v>
      </c>
      <c r="W59" s="189">
        <v>0.11746483883966206</v>
      </c>
      <c r="X59" s="189">
        <v>7.5349839637493282E-2</v>
      </c>
      <c r="Y59" s="189"/>
      <c r="Z59" s="189"/>
    </row>
    <row r="60" spans="1:26" x14ac:dyDescent="0.2">
      <c r="A60" s="189" t="s">
        <v>94</v>
      </c>
      <c r="B60" s="189"/>
      <c r="C60" s="189"/>
      <c r="D60" s="189"/>
      <c r="E60" s="189"/>
      <c r="F60" s="189"/>
      <c r="G60" s="189"/>
      <c r="H60" s="189"/>
      <c r="I60" s="3"/>
      <c r="J60" s="189"/>
      <c r="K60" s="189"/>
      <c r="L60" s="3"/>
      <c r="M60" s="3"/>
      <c r="N60" s="3"/>
      <c r="O60" s="189"/>
      <c r="P60" s="189"/>
      <c r="Q60" s="189"/>
      <c r="R60" s="189"/>
      <c r="S60" s="189"/>
      <c r="T60" s="189"/>
      <c r="U60" s="189"/>
      <c r="V60" s="189">
        <v>0.21312018809977529</v>
      </c>
      <c r="W60" s="189">
        <v>5.0433933523187202E-2</v>
      </c>
      <c r="X60" s="189">
        <v>3.2717468347045732E-2</v>
      </c>
      <c r="Y60" s="189"/>
      <c r="Z60" s="189"/>
    </row>
    <row r="61" spans="1:26" x14ac:dyDescent="0.2">
      <c r="A61" s="189" t="s">
        <v>95</v>
      </c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  <c r="S61" s="189"/>
      <c r="T61" s="189"/>
      <c r="U61" s="189"/>
      <c r="V61" s="189">
        <v>0</v>
      </c>
      <c r="W61" s="189">
        <v>0</v>
      </c>
      <c r="X61" s="189">
        <v>0</v>
      </c>
      <c r="Y61" s="189"/>
      <c r="Z61" s="189"/>
    </row>
    <row r="62" spans="1:26" x14ac:dyDescent="0.2">
      <c r="A62" s="189" t="s">
        <v>96</v>
      </c>
      <c r="B62" s="189"/>
      <c r="C62" s="189"/>
      <c r="D62" s="189"/>
      <c r="E62" s="189"/>
      <c r="F62" s="189"/>
      <c r="G62" s="189"/>
      <c r="H62" s="189"/>
      <c r="I62" s="3"/>
      <c r="J62" s="189"/>
      <c r="K62" s="189"/>
      <c r="L62" s="3"/>
      <c r="M62" s="3"/>
      <c r="N62" s="3"/>
      <c r="O62" s="189"/>
      <c r="P62" s="189"/>
      <c r="Q62" s="189"/>
      <c r="R62" s="189"/>
      <c r="S62" s="189"/>
      <c r="T62" s="189"/>
      <c r="U62" s="189"/>
      <c r="V62" s="189">
        <v>3.5254014532837608</v>
      </c>
      <c r="W62" s="189">
        <v>0.86606388181080252</v>
      </c>
      <c r="X62" s="189">
        <v>0.54515416876556577</v>
      </c>
      <c r="Y62" s="189"/>
      <c r="Z62" s="189"/>
    </row>
    <row r="63" spans="1:26" x14ac:dyDescent="0.2">
      <c r="A63" s="189" t="s">
        <v>118</v>
      </c>
      <c r="B63" s="189"/>
      <c r="C63" s="189"/>
      <c r="D63" s="189"/>
      <c r="E63" s="189"/>
      <c r="F63" s="189"/>
      <c r="G63" s="189"/>
      <c r="H63" s="189"/>
      <c r="I63" s="3"/>
      <c r="J63" s="189"/>
      <c r="K63" s="189"/>
      <c r="L63" s="3"/>
      <c r="M63" s="3"/>
      <c r="N63" s="3"/>
      <c r="O63" s="189"/>
      <c r="P63" s="189"/>
      <c r="Q63" s="189"/>
      <c r="R63" s="189"/>
      <c r="S63" s="189"/>
      <c r="T63" s="189"/>
      <c r="U63" s="189"/>
      <c r="V63" s="189">
        <v>5.2105227752671439</v>
      </c>
      <c r="W63" s="189">
        <v>1.7129775880567755</v>
      </c>
      <c r="X63" s="189">
        <v>0.85947964916240616</v>
      </c>
      <c r="Y63" s="189"/>
      <c r="Z63" s="189"/>
    </row>
    <row r="64" spans="1:26" x14ac:dyDescent="0.2">
      <c r="A64" s="189" t="s">
        <v>98</v>
      </c>
      <c r="B64" s="189"/>
      <c r="C64" s="189"/>
      <c r="D64" s="189"/>
      <c r="E64" s="189"/>
      <c r="F64" s="189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  <c r="R64" s="189"/>
      <c r="S64" s="189"/>
      <c r="T64" s="189"/>
      <c r="U64" s="189"/>
      <c r="V64" s="189">
        <v>5.9080523528247371</v>
      </c>
      <c r="W64" s="189">
        <v>1.8346759031020048</v>
      </c>
      <c r="X64" s="189">
        <v>0.96117816360868746</v>
      </c>
      <c r="Y64" s="189"/>
      <c r="Z64" s="189"/>
    </row>
    <row r="65" spans="1:26" x14ac:dyDescent="0.2">
      <c r="A65" s="189" t="s">
        <v>100</v>
      </c>
      <c r="B65" s="189"/>
      <c r="C65" s="189"/>
      <c r="D65" s="189"/>
      <c r="E65" s="189"/>
      <c r="F65" s="189"/>
      <c r="G65" s="189"/>
      <c r="H65" s="189"/>
      <c r="I65" s="3"/>
      <c r="J65" s="189"/>
      <c r="K65" s="189"/>
      <c r="L65" s="3"/>
      <c r="M65" s="3"/>
      <c r="N65" s="3"/>
      <c r="O65" s="189"/>
      <c r="P65" s="189"/>
      <c r="Q65" s="189"/>
      <c r="R65" s="189"/>
      <c r="S65" s="189"/>
      <c r="T65" s="189"/>
      <c r="U65" s="189"/>
      <c r="V65" s="189">
        <v>-4.9829623248667146E-2</v>
      </c>
      <c r="W65" s="189">
        <v>-2.0358679410099435E-2</v>
      </c>
      <c r="X65" s="189">
        <v>-8.7131385251346637E-3</v>
      </c>
      <c r="Y65" s="189"/>
      <c r="Z65" s="189"/>
    </row>
    <row r="66" spans="1:26" x14ac:dyDescent="0.2">
      <c r="A66" s="189" t="s">
        <v>102</v>
      </c>
      <c r="B66" s="189"/>
      <c r="C66" s="189"/>
      <c r="D66" s="189"/>
      <c r="E66" s="189"/>
      <c r="F66" s="189"/>
      <c r="G66" s="189"/>
      <c r="H66" s="189"/>
      <c r="I66" s="3"/>
      <c r="J66" s="189"/>
      <c r="K66" s="189"/>
      <c r="L66" s="3"/>
      <c r="M66" s="3"/>
      <c r="N66" s="3"/>
      <c r="O66" s="189"/>
      <c r="P66" s="189"/>
      <c r="Q66" s="189"/>
      <c r="R66" s="189"/>
      <c r="S66" s="189"/>
      <c r="T66" s="189"/>
      <c r="U66" s="189"/>
      <c r="V66" s="189">
        <v>0.14179639304059205</v>
      </c>
      <c r="W66" s="189">
        <v>6.8096521885177744E-2</v>
      </c>
      <c r="X66" s="189">
        <v>2.605599471586759E-2</v>
      </c>
      <c r="Y66" s="189"/>
      <c r="Z66" s="189"/>
    </row>
    <row r="67" spans="1:26" x14ac:dyDescent="0.2">
      <c r="A67" s="189" t="s">
        <v>104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>
        <v>1.2635580666498611</v>
      </c>
      <c r="W67" s="189">
        <v>0.42716181368193368</v>
      </c>
      <c r="X67" s="189">
        <v>0.2098850658371072</v>
      </c>
    </row>
    <row r="68" spans="1:26" x14ac:dyDescent="0.2">
      <c r="A68" s="171" t="s">
        <v>106</v>
      </c>
      <c r="B68" s="171"/>
      <c r="C68" s="171"/>
      <c r="D68" s="171"/>
      <c r="E68" s="171"/>
      <c r="F68" s="171"/>
      <c r="G68" s="171"/>
      <c r="H68" s="171"/>
      <c r="I68" s="3"/>
      <c r="J68" s="189"/>
      <c r="K68" s="189"/>
      <c r="L68" s="3"/>
      <c r="M68" s="3"/>
      <c r="N68" s="3"/>
      <c r="O68" s="171"/>
      <c r="P68" s="171"/>
      <c r="Q68" s="171"/>
      <c r="R68" s="171"/>
      <c r="S68" s="171"/>
      <c r="T68" s="171"/>
      <c r="U68" s="171"/>
      <c r="V68" s="171">
        <v>0.42778073342416623</v>
      </c>
      <c r="W68" s="171">
        <v>-0.11143768957148134</v>
      </c>
      <c r="X68" s="171">
        <v>3.9270657048819851E-2</v>
      </c>
    </row>
    <row r="69" spans="1:26" x14ac:dyDescent="0.2">
      <c r="A69" s="171" t="s">
        <v>108</v>
      </c>
      <c r="B69" s="171"/>
      <c r="C69" s="171"/>
      <c r="D69" s="171"/>
      <c r="E69" s="171"/>
      <c r="F69" s="171"/>
      <c r="G69" s="171"/>
      <c r="H69" s="171"/>
      <c r="I69" s="3"/>
      <c r="J69" s="189"/>
      <c r="K69" s="189"/>
      <c r="L69" s="3"/>
      <c r="M69" s="3"/>
      <c r="N69" s="3"/>
      <c r="O69" s="171"/>
      <c r="P69" s="171"/>
      <c r="Q69" s="171"/>
      <c r="R69" s="171"/>
      <c r="S69" s="171"/>
      <c r="T69" s="171"/>
      <c r="U69" s="171"/>
      <c r="V69" s="171">
        <v>0.10190861555268202</v>
      </c>
      <c r="W69" s="171">
        <v>2.8534397998351592E-2</v>
      </c>
      <c r="X69" s="171">
        <v>1.6193126256832419E-2</v>
      </c>
    </row>
    <row r="70" spans="1:26" x14ac:dyDescent="0.2">
      <c r="A70" s="171" t="s">
        <v>112</v>
      </c>
      <c r="B70" s="171"/>
      <c r="C70" s="171"/>
      <c r="D70" s="171"/>
      <c r="E70" s="171"/>
      <c r="F70" s="171"/>
      <c r="G70" s="171"/>
      <c r="H70" s="171"/>
      <c r="I70" s="171"/>
      <c r="J70" s="189"/>
      <c r="K70" s="189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>
        <v>3.9922751318217271</v>
      </c>
      <c r="W70" s="171">
        <v>0.98412178874132772</v>
      </c>
      <c r="X70" s="171">
        <v>0.617767264379113</v>
      </c>
    </row>
    <row r="71" spans="1:26" x14ac:dyDescent="0.2">
      <c r="A71" s="171"/>
      <c r="B71" s="171"/>
      <c r="C71" s="171"/>
      <c r="D71" s="171"/>
      <c r="E71" s="171"/>
      <c r="F71" s="171"/>
      <c r="G71" s="171"/>
      <c r="H71" s="171"/>
      <c r="I71" s="171"/>
      <c r="J71" s="189"/>
      <c r="K71" s="189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</row>
    <row r="72" spans="1:26" x14ac:dyDescent="0.2">
      <c r="A72" s="171"/>
      <c r="B72" s="171"/>
      <c r="C72" s="171"/>
      <c r="D72" s="171"/>
      <c r="E72" s="171"/>
      <c r="F72" s="171"/>
      <c r="G72" s="171"/>
      <c r="H72" s="171"/>
      <c r="I72" s="171"/>
      <c r="J72" s="189"/>
      <c r="K72" s="189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</row>
    <row r="73" spans="1:26" x14ac:dyDescent="0.2">
      <c r="A73" s="171"/>
      <c r="B73" s="171"/>
      <c r="C73" s="171"/>
      <c r="D73" s="171"/>
      <c r="E73" s="171"/>
      <c r="F73" s="171"/>
      <c r="G73" s="171"/>
      <c r="H73" s="171"/>
      <c r="I73" s="171"/>
      <c r="J73" s="189"/>
      <c r="K73" s="189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</row>
    <row r="74" spans="1:26" x14ac:dyDescent="0.2">
      <c r="A74" s="189"/>
      <c r="B74" s="171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</row>
    <row r="75" spans="1:26" x14ac:dyDescent="0.2">
      <c r="A75" s="189"/>
      <c r="B75" s="171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</row>
    <row r="76" spans="1:26" x14ac:dyDescent="0.2">
      <c r="A76" s="189"/>
      <c r="B76" s="171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</row>
    <row r="77" spans="1:26" x14ac:dyDescent="0.2">
      <c r="A77" s="189"/>
      <c r="B77" s="171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</row>
    <row r="78" spans="1:26" x14ac:dyDescent="0.2">
      <c r="A78" s="189"/>
      <c r="B78" s="171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</row>
    <row r="79" spans="1:26" x14ac:dyDescent="0.2">
      <c r="A79" s="189"/>
      <c r="W79" s="171">
        <v>23</v>
      </c>
      <c r="X79" s="171">
        <v>24</v>
      </c>
      <c r="Y79">
        <v>25</v>
      </c>
      <c r="Z79">
        <v>26</v>
      </c>
    </row>
    <row r="80" spans="1:26" x14ac:dyDescent="0.2">
      <c r="A80" s="189"/>
    </row>
    <row r="81" spans="1:24" x14ac:dyDescent="0.2">
      <c r="A81" s="189"/>
    </row>
    <row r="82" spans="1:24" x14ac:dyDescent="0.2">
      <c r="A82" s="189"/>
    </row>
    <row r="83" spans="1:24" x14ac:dyDescent="0.2">
      <c r="A83" s="189"/>
    </row>
    <row r="84" spans="1:24" x14ac:dyDescent="0.2">
      <c r="A84" s="189"/>
    </row>
    <row r="85" spans="1:24" x14ac:dyDescent="0.2">
      <c r="A85" s="189"/>
    </row>
    <row r="86" spans="1:24" x14ac:dyDescent="0.2">
      <c r="A86" s="189"/>
    </row>
    <row r="87" spans="1:24" x14ac:dyDescent="0.2">
      <c r="A87" s="189"/>
    </row>
    <row r="94" spans="1:24" x14ac:dyDescent="0.2">
      <c r="B94" t="s">
        <v>65</v>
      </c>
    </row>
    <row r="95" spans="1:24" x14ac:dyDescent="0.2">
      <c r="A95" s="133"/>
    </row>
    <row r="96" spans="1:24" x14ac:dyDescent="0.2">
      <c r="A96" s="149" t="str">
        <f>A36</f>
        <v>age</v>
      </c>
      <c r="B96" s="427">
        <v>1</v>
      </c>
      <c r="C96" s="427">
        <v>2</v>
      </c>
      <c r="D96" s="427">
        <v>3</v>
      </c>
      <c r="E96" s="427">
        <v>4</v>
      </c>
      <c r="F96" s="427">
        <v>5</v>
      </c>
      <c r="G96" s="427">
        <v>6</v>
      </c>
      <c r="H96" s="427">
        <v>7</v>
      </c>
      <c r="I96" s="427">
        <v>8</v>
      </c>
      <c r="J96" s="428">
        <v>9</v>
      </c>
      <c r="K96" s="427">
        <v>10</v>
      </c>
      <c r="L96" s="429">
        <v>1</v>
      </c>
      <c r="M96" s="429">
        <v>2</v>
      </c>
      <c r="N96" s="429">
        <v>3</v>
      </c>
      <c r="O96" s="429">
        <v>4</v>
      </c>
      <c r="P96" s="429">
        <v>5</v>
      </c>
      <c r="Q96" s="429">
        <v>6</v>
      </c>
      <c r="R96" s="429">
        <v>7</v>
      </c>
      <c r="S96" s="429">
        <v>8</v>
      </c>
      <c r="T96" s="429">
        <v>9</v>
      </c>
      <c r="U96" s="429">
        <v>10</v>
      </c>
      <c r="V96" s="133" t="s">
        <v>41</v>
      </c>
      <c r="W96" s="133" t="s">
        <v>41</v>
      </c>
      <c r="X96" s="133" t="s">
        <v>41</v>
      </c>
    </row>
    <row r="97" spans="1:27" x14ac:dyDescent="0.2">
      <c r="A97" s="149" t="str">
        <f>A37</f>
        <v>sex</v>
      </c>
      <c r="B97" s="427">
        <v>1</v>
      </c>
      <c r="C97" s="427">
        <v>1</v>
      </c>
      <c r="D97" s="427">
        <v>1</v>
      </c>
      <c r="E97" s="427">
        <v>1</v>
      </c>
      <c r="F97" s="427">
        <v>1</v>
      </c>
      <c r="G97" s="427">
        <v>1</v>
      </c>
      <c r="H97" s="427">
        <v>1</v>
      </c>
      <c r="I97" s="427">
        <v>1</v>
      </c>
      <c r="J97" s="428">
        <v>1</v>
      </c>
      <c r="K97" s="427">
        <v>1</v>
      </c>
      <c r="L97" s="429">
        <v>2</v>
      </c>
      <c r="M97" s="429">
        <v>2</v>
      </c>
      <c r="N97" s="429">
        <v>2</v>
      </c>
      <c r="O97" s="429">
        <v>2</v>
      </c>
      <c r="P97" s="429">
        <v>2</v>
      </c>
      <c r="Q97" s="429">
        <v>2</v>
      </c>
      <c r="R97" s="429">
        <v>2</v>
      </c>
      <c r="S97" s="429">
        <v>2</v>
      </c>
      <c r="T97" s="429">
        <v>2</v>
      </c>
      <c r="U97" s="429">
        <v>2</v>
      </c>
      <c r="V97" s="430" t="s">
        <v>38</v>
      </c>
      <c r="W97" s="432" t="s">
        <v>39</v>
      </c>
      <c r="X97" t="s">
        <v>146</v>
      </c>
    </row>
    <row r="98" spans="1:27" x14ac:dyDescent="0.2">
      <c r="A98" s="133" t="s">
        <v>72</v>
      </c>
      <c r="B98" s="427">
        <v>0</v>
      </c>
      <c r="C98" s="427">
        <v>0.52250078741684247</v>
      </c>
      <c r="D98" s="427">
        <v>0.3119981529907655</v>
      </c>
      <c r="E98" s="427">
        <v>0.117404199200891</v>
      </c>
      <c r="F98" s="427">
        <v>3.6100716046654588E-2</v>
      </c>
      <c r="G98" s="427">
        <v>9.4091456147256929E-3</v>
      </c>
      <c r="H98" s="427">
        <v>2.098960825521808E-3</v>
      </c>
      <c r="I98" s="427">
        <v>4.0201593816721089E-4</v>
      </c>
      <c r="J98" s="428">
        <v>6.6176395092869335E-5</v>
      </c>
      <c r="K98" s="427">
        <v>9.364199214102629E-6</v>
      </c>
      <c r="L98" s="429">
        <v>0</v>
      </c>
      <c r="M98" s="429">
        <v>0.50945542623963658</v>
      </c>
      <c r="N98" s="429">
        <v>0.29299676349368792</v>
      </c>
      <c r="O98" s="429">
        <v>0.13315267704317027</v>
      </c>
      <c r="P98" s="429">
        <v>4.7477588122122549E-2</v>
      </c>
      <c r="Q98" s="429">
        <v>1.3328370095410998E-2</v>
      </c>
      <c r="R98" s="429">
        <v>2.967623735619835E-3</v>
      </c>
      <c r="S98" s="429">
        <v>5.28355874116356E-4</v>
      </c>
      <c r="T98" s="429">
        <v>7.5799832811409269E-5</v>
      </c>
      <c r="U98" s="429">
        <v>8.8222974492180303E-6</v>
      </c>
      <c r="V98" s="427"/>
      <c r="W98" s="429"/>
    </row>
    <row r="99" spans="1:27" x14ac:dyDescent="0.2">
      <c r="A99" s="133" t="s">
        <v>69</v>
      </c>
      <c r="B99" s="427">
        <v>0</v>
      </c>
      <c r="C99" s="427">
        <v>2.2642461813549835</v>
      </c>
      <c r="D99" s="427">
        <v>2.3842727520133931</v>
      </c>
      <c r="E99" s="427">
        <v>2.572001032246964</v>
      </c>
      <c r="F99" s="427">
        <v>2.5501464396090956</v>
      </c>
      <c r="G99" s="427">
        <v>1.5673916102080563</v>
      </c>
      <c r="H99" s="427">
        <v>0</v>
      </c>
      <c r="I99" s="427">
        <v>0</v>
      </c>
      <c r="J99" s="428">
        <v>0</v>
      </c>
      <c r="K99" s="427">
        <v>0</v>
      </c>
      <c r="L99" s="429">
        <v>0</v>
      </c>
      <c r="M99" s="429">
        <v>0.49433600899561392</v>
      </c>
      <c r="N99" s="429">
        <v>0.88324702465056304</v>
      </c>
      <c r="O99" s="429">
        <v>1.3314279605498842</v>
      </c>
      <c r="P99" s="429">
        <v>1.7944848723658549</v>
      </c>
      <c r="Q99" s="429">
        <v>2.2458055828790675</v>
      </c>
      <c r="R99" s="429">
        <v>2.62436204602148</v>
      </c>
      <c r="S99" s="429">
        <v>2.5605933992588601</v>
      </c>
      <c r="T99" s="429">
        <v>0</v>
      </c>
      <c r="U99" s="429">
        <v>0</v>
      </c>
      <c r="V99" s="431"/>
      <c r="W99" s="433"/>
      <c r="X99" s="133"/>
    </row>
    <row r="100" spans="1:27" x14ac:dyDescent="0.2">
      <c r="A100" s="133"/>
      <c r="B100" s="427"/>
      <c r="C100" s="427"/>
      <c r="D100" s="427"/>
      <c r="E100" s="427"/>
      <c r="F100" s="427"/>
      <c r="G100" s="427"/>
      <c r="H100" s="427"/>
      <c r="I100" s="427"/>
      <c r="J100" s="428"/>
      <c r="K100" s="427"/>
      <c r="L100" s="429"/>
      <c r="M100" s="429"/>
      <c r="N100" s="429"/>
      <c r="O100" s="429"/>
      <c r="P100" s="429"/>
      <c r="Q100" s="429"/>
      <c r="R100" s="429"/>
      <c r="S100" s="429"/>
      <c r="T100" s="429"/>
      <c r="U100" s="429"/>
      <c r="V100" s="427"/>
      <c r="W100" s="429"/>
      <c r="X100" s="171"/>
      <c r="Y100" s="171"/>
      <c r="Z100" s="171"/>
    </row>
    <row r="101" spans="1:27" x14ac:dyDescent="0.2">
      <c r="A101" s="189" t="s">
        <v>237</v>
      </c>
      <c r="B101" s="427">
        <v>0.84550699391499007</v>
      </c>
      <c r="C101" s="427">
        <v>0.88186826643511451</v>
      </c>
      <c r="D101" s="427">
        <v>0.90423100906100995</v>
      </c>
      <c r="E101" s="427">
        <v>0.91941753619067212</v>
      </c>
      <c r="F101" s="427">
        <v>0.93042039606051041</v>
      </c>
      <c r="G101" s="427">
        <v>0.93876588380983206</v>
      </c>
      <c r="H101" s="427">
        <v>0.94531621097693463</v>
      </c>
      <c r="I101" s="427">
        <v>0.95059603626437006</v>
      </c>
      <c r="J101" s="427">
        <v>0.95494325474242159</v>
      </c>
      <c r="K101" s="427">
        <v>0.95858545864800571</v>
      </c>
      <c r="L101" s="429">
        <v>0.84550699391499007</v>
      </c>
      <c r="M101" s="429">
        <v>0.84939096806533965</v>
      </c>
      <c r="N101" s="429">
        <v>0.85308018483864656</v>
      </c>
      <c r="O101" s="429">
        <v>0.85658918308334708</v>
      </c>
      <c r="P101" s="429">
        <v>0.85993107039402783</v>
      </c>
      <c r="Q101" s="429">
        <v>0.86311769688534945</v>
      </c>
      <c r="R101" s="429">
        <v>0.86615980402460013</v>
      </c>
      <c r="S101" s="429">
        <v>0.8690671526330106</v>
      </c>
      <c r="T101" s="429">
        <v>0.8718486334046408</v>
      </c>
      <c r="U101" s="429">
        <v>0.87451236268628252</v>
      </c>
      <c r="V101" s="427">
        <v>0.84546831352174079</v>
      </c>
      <c r="W101" s="429">
        <v>0.84532340360630565</v>
      </c>
      <c r="X101" s="189">
        <v>0.84539585856402322</v>
      </c>
      <c r="Y101" s="189"/>
      <c r="Z101" s="189"/>
      <c r="AA101" s="189"/>
    </row>
    <row r="102" spans="1:27" x14ac:dyDescent="0.2">
      <c r="A102" s="189" t="s">
        <v>238</v>
      </c>
      <c r="B102" s="427">
        <v>0.47275796932072661</v>
      </c>
      <c r="C102" s="427">
        <v>0.61325312588360681</v>
      </c>
      <c r="D102" s="427">
        <v>0.69126660774409521</v>
      </c>
      <c r="E102" s="427">
        <v>0.74215363195954132</v>
      </c>
      <c r="F102" s="427">
        <v>0.77828001923451551</v>
      </c>
      <c r="G102" s="427">
        <v>0.80536271820531735</v>
      </c>
      <c r="H102" s="427">
        <v>0.82646481025167906</v>
      </c>
      <c r="I102" s="427">
        <v>0.84339149608730934</v>
      </c>
      <c r="J102" s="427">
        <v>0.85728138458465764</v>
      </c>
      <c r="K102" s="427">
        <v>0.86889048042489492</v>
      </c>
      <c r="L102" s="429">
        <v>0.47275796932072661</v>
      </c>
      <c r="M102" s="429">
        <v>0.48897185875932581</v>
      </c>
      <c r="N102" s="429">
        <v>0.50403852228512336</v>
      </c>
      <c r="O102" s="429">
        <v>0.51809544742499125</v>
      </c>
      <c r="P102" s="429">
        <v>0.53125625947847366</v>
      </c>
      <c r="Q102" s="429">
        <v>0.54361612472083953</v>
      </c>
      <c r="R102" s="429">
        <v>0.55525566675049098</v>
      </c>
      <c r="S102" s="429">
        <v>0.5662438700625575</v>
      </c>
      <c r="T102" s="429">
        <v>0.57664027535984452</v>
      </c>
      <c r="U102" s="429">
        <v>0.58649666806290135</v>
      </c>
      <c r="V102" s="427">
        <v>0.47383060691131307</v>
      </c>
      <c r="W102" s="429">
        <v>0.47279652373748982</v>
      </c>
      <c r="X102" s="189">
        <v>0.47331356532440144</v>
      </c>
      <c r="Y102" s="189"/>
      <c r="Z102" s="189"/>
      <c r="AA102" s="189"/>
    </row>
    <row r="103" spans="1:27" x14ac:dyDescent="0.2">
      <c r="A103" s="189" t="s">
        <v>239</v>
      </c>
      <c r="B103" s="427">
        <v>0.72817914977259168</v>
      </c>
      <c r="C103" s="427">
        <v>0.78374992761929596</v>
      </c>
      <c r="D103" s="427">
        <v>0.82017566335534609</v>
      </c>
      <c r="E103" s="427">
        <v>0.84599200235147964</v>
      </c>
      <c r="F103" s="427">
        <v>0.86527798327933825</v>
      </c>
      <c r="G103" s="427">
        <v>0.88024681456977349</v>
      </c>
      <c r="H103" s="427">
        <v>0.89220846629140482</v>
      </c>
      <c r="I103" s="427">
        <v>0.901989615306792</v>
      </c>
      <c r="J103" s="427">
        <v>0.91013843019180352</v>
      </c>
      <c r="K103" s="427">
        <v>0.91703306689768471</v>
      </c>
      <c r="L103" s="429">
        <v>0.72817914977259168</v>
      </c>
      <c r="M103" s="429">
        <v>0.7339150817107799</v>
      </c>
      <c r="N103" s="429">
        <v>0.7394058799099078</v>
      </c>
      <c r="O103" s="429">
        <v>0.74466747501223873</v>
      </c>
      <c r="P103" s="429">
        <v>0.74971439906494119</v>
      </c>
      <c r="Q103" s="429">
        <v>0.75455994069194088</v>
      </c>
      <c r="R103" s="429">
        <v>0.75921627944816983</v>
      </c>
      <c r="S103" s="429">
        <v>0.76369460262678557</v>
      </c>
      <c r="T103" s="429">
        <v>0.76800520720281207</v>
      </c>
      <c r="U103" s="429">
        <v>0.77215758912764465</v>
      </c>
      <c r="V103" s="427">
        <v>0.73954372681759051</v>
      </c>
      <c r="W103" s="429">
        <v>0.62868248931261117</v>
      </c>
      <c r="X103" s="189">
        <v>0.68411310806510084</v>
      </c>
      <c r="Y103" s="189"/>
      <c r="Z103" s="189"/>
      <c r="AA103" s="189"/>
    </row>
    <row r="104" spans="1:27" x14ac:dyDescent="0.2">
      <c r="A104" s="189"/>
      <c r="B104" s="427">
        <v>0.14233069398672271</v>
      </c>
      <c r="C104" s="427">
        <v>0.19122256588219075</v>
      </c>
      <c r="D104" s="427">
        <v>0.2019579329615144</v>
      </c>
      <c r="E104" s="427">
        <v>0.22807888670554852</v>
      </c>
      <c r="F104" s="427">
        <v>0.24827433151426009</v>
      </c>
      <c r="G104" s="427">
        <v>0.25879061858003199</v>
      </c>
      <c r="H104" s="427">
        <v>0.26523675704219923</v>
      </c>
      <c r="I104" s="427">
        <v>0.26961058301283169</v>
      </c>
      <c r="J104" s="427">
        <v>0.2727849512347173</v>
      </c>
      <c r="K104" s="427">
        <v>0.27520107113996894</v>
      </c>
      <c r="L104" s="429">
        <v>0.14233069398672271</v>
      </c>
      <c r="M104" s="429">
        <v>0.1904936379520395</v>
      </c>
      <c r="N104" s="429">
        <v>0.21035775337659701</v>
      </c>
      <c r="O104" s="429">
        <v>0.21364916697566397</v>
      </c>
      <c r="P104" s="429">
        <v>0.21879351434843808</v>
      </c>
      <c r="Q104" s="429">
        <v>0.22036670604483466</v>
      </c>
      <c r="R104" s="429">
        <v>0.22338089117850601</v>
      </c>
      <c r="S104" s="429">
        <v>0.22614325015109013</v>
      </c>
      <c r="T104" s="429">
        <v>0.22868103259781131</v>
      </c>
      <c r="U104" s="429">
        <v>0.23101961930246953</v>
      </c>
      <c r="V104" s="427">
        <v>0.22995625331364172</v>
      </c>
      <c r="W104" s="429">
        <v>0.20606068143357481</v>
      </c>
      <c r="X104" s="189">
        <v>0.21800846737360827</v>
      </c>
      <c r="Y104" s="189"/>
      <c r="Z104" s="189"/>
      <c r="AA104" s="189"/>
    </row>
    <row r="105" spans="1:27" x14ac:dyDescent="0.2">
      <c r="A105" s="189"/>
      <c r="B105" s="427">
        <v>7.4743963094447696E-2</v>
      </c>
      <c r="C105" s="427">
        <v>0.11614942382709681</v>
      </c>
      <c r="D105" s="427">
        <v>0.11872799179905541</v>
      </c>
      <c r="E105" s="427">
        <v>0.13921084975402301</v>
      </c>
      <c r="F105" s="427">
        <v>0.15351340808023431</v>
      </c>
      <c r="G105" s="427">
        <v>0.16256164976148618</v>
      </c>
      <c r="H105" s="427">
        <v>0.16892662095313532</v>
      </c>
      <c r="I105" s="427">
        <v>0.17371942753048794</v>
      </c>
      <c r="J105" s="427">
        <v>0.17749506388858327</v>
      </c>
      <c r="K105" s="427">
        <v>0.18056566554335243</v>
      </c>
      <c r="L105" s="429">
        <v>7.4743963094447696E-2</v>
      </c>
      <c r="M105" s="429">
        <v>0.11340729541590813</v>
      </c>
      <c r="N105" s="429">
        <v>0.12398251279379337</v>
      </c>
      <c r="O105" s="429">
        <v>0.12682629802541989</v>
      </c>
      <c r="P105" s="429">
        <v>0.13070478232230948</v>
      </c>
      <c r="Q105" s="429">
        <v>0.13127753508837109</v>
      </c>
      <c r="R105" s="429">
        <v>0.13342489894684709</v>
      </c>
      <c r="S105" s="429">
        <v>0.13541335584603903</v>
      </c>
      <c r="T105" s="429">
        <v>0.13726158568193003</v>
      </c>
      <c r="U105" s="429">
        <v>0.13898579904100639</v>
      </c>
      <c r="V105" s="427">
        <v>0.14250223891856192</v>
      </c>
      <c r="W105" s="429">
        <v>0.12238861375786962</v>
      </c>
      <c r="X105" s="189">
        <v>0.13244542633821577</v>
      </c>
      <c r="Y105" s="189"/>
      <c r="Z105" s="189"/>
      <c r="AA105" s="189"/>
    </row>
    <row r="106" spans="1:27" x14ac:dyDescent="0.2">
      <c r="A106" s="189"/>
      <c r="B106" s="427">
        <v>6.9258312797161367E-2</v>
      </c>
      <c r="C106" s="427">
        <v>9.8227830507788758E-2</v>
      </c>
      <c r="D106" s="427">
        <v>0.10332587273937066</v>
      </c>
      <c r="E106" s="427">
        <v>0.11811268351348038</v>
      </c>
      <c r="F106" s="427">
        <v>0.12881137549254626</v>
      </c>
      <c r="G106" s="427">
        <v>0.13507607195319291</v>
      </c>
      <c r="H106" s="427">
        <v>0.13924178639738485</v>
      </c>
      <c r="I106" s="427">
        <v>0.1422430558487269</v>
      </c>
      <c r="J106" s="427">
        <v>0.14452421901039844</v>
      </c>
      <c r="K106" s="427">
        <v>0.14632527716849783</v>
      </c>
      <c r="L106" s="429">
        <v>6.9258312797161367E-2</v>
      </c>
      <c r="M106" s="429">
        <v>9.8104695930160704E-2</v>
      </c>
      <c r="N106" s="429">
        <v>0.10715738211159535</v>
      </c>
      <c r="O106" s="429">
        <v>0.10893772126368827</v>
      </c>
      <c r="P106" s="429">
        <v>0.11237077853932262</v>
      </c>
      <c r="Q106" s="429">
        <v>0.11284945484043801</v>
      </c>
      <c r="R106" s="429">
        <v>0.11455320149330817</v>
      </c>
      <c r="S106" s="429">
        <v>0.11611797011596794</v>
      </c>
      <c r="T106" s="429">
        <v>0.11756021192771204</v>
      </c>
      <c r="U106" s="429">
        <v>0.11889439782789034</v>
      </c>
      <c r="V106" s="427">
        <v>0.1194444947159265</v>
      </c>
      <c r="W106" s="429">
        <v>0.10554911278480077</v>
      </c>
      <c r="X106" s="189">
        <v>0.11249680375036364</v>
      </c>
      <c r="Y106" s="189"/>
      <c r="Z106" s="189"/>
      <c r="AA106" s="189"/>
    </row>
    <row r="107" spans="1:27" x14ac:dyDescent="0.2">
      <c r="A107" s="189"/>
      <c r="B107" s="427">
        <v>0.52753802651299486</v>
      </c>
      <c r="C107" s="427">
        <v>0.68648841377524994</v>
      </c>
      <c r="D107" s="427">
        <v>0.7385903726640719</v>
      </c>
      <c r="E107" s="427">
        <v>0.837522221006614</v>
      </c>
      <c r="F107" s="427">
        <v>0.88454407118407796</v>
      </c>
      <c r="G107" s="427">
        <v>0.91083417303552638</v>
      </c>
      <c r="H107" s="427">
        <v>0.92747032722828038</v>
      </c>
      <c r="I107" s="427">
        <v>0.93890785785993991</v>
      </c>
      <c r="J107" s="427">
        <v>0.94724262808428994</v>
      </c>
      <c r="K107" s="427">
        <v>0.95358209509855507</v>
      </c>
      <c r="L107" s="429">
        <v>0.52753802651299486</v>
      </c>
      <c r="M107" s="429">
        <v>0.686143032804574</v>
      </c>
      <c r="N107" s="429">
        <v>0.69398679351637826</v>
      </c>
      <c r="O107" s="429">
        <v>0.70976127239011821</v>
      </c>
      <c r="P107" s="429">
        <v>0.72498952273209205</v>
      </c>
      <c r="Q107" s="429">
        <v>0.73877337502674567</v>
      </c>
      <c r="R107" s="429">
        <v>0.75138671750601904</v>
      </c>
      <c r="S107" s="429">
        <v>0.76286392511326295</v>
      </c>
      <c r="T107" s="429">
        <v>0.77333578262467306</v>
      </c>
      <c r="U107" s="429">
        <v>0.78292211202465034</v>
      </c>
      <c r="V107" s="427">
        <v>0.81911256406961341</v>
      </c>
      <c r="W107" s="429">
        <v>0.70325096995897296</v>
      </c>
      <c r="X107" s="189">
        <v>0.76118176701429319</v>
      </c>
      <c r="Y107" s="189"/>
      <c r="Z107" s="189"/>
      <c r="AA107" s="189"/>
    </row>
    <row r="108" spans="1:27" x14ac:dyDescent="0.2">
      <c r="A108" s="189"/>
      <c r="B108" s="427">
        <v>0.17388071474929062</v>
      </c>
      <c r="C108" s="427">
        <v>0.25505971316771403</v>
      </c>
      <c r="D108" s="427">
        <v>0.25961961377935755</v>
      </c>
      <c r="E108" s="427">
        <v>0.30160594444167077</v>
      </c>
      <c r="F108" s="427">
        <v>0.32195735498363287</v>
      </c>
      <c r="G108" s="427">
        <v>0.33309444029565377</v>
      </c>
      <c r="H108" s="427">
        <v>0.34015287273091938</v>
      </c>
      <c r="I108" s="427">
        <v>0.34505131816200707</v>
      </c>
      <c r="J108" s="427">
        <v>0.34866479008929974</v>
      </c>
      <c r="K108" s="427">
        <v>0.35144943038183424</v>
      </c>
      <c r="L108" s="429">
        <v>0.17388071474929062</v>
      </c>
      <c r="M108" s="429">
        <v>0.25500868826203149</v>
      </c>
      <c r="N108" s="429">
        <v>0.26312960548301162</v>
      </c>
      <c r="O108" s="429">
        <v>0.26824087966909566</v>
      </c>
      <c r="P108" s="429">
        <v>0.27383206166636048</v>
      </c>
      <c r="Q108" s="429">
        <v>0.27771349095006165</v>
      </c>
      <c r="R108" s="429">
        <v>0.281848732571163</v>
      </c>
      <c r="S108" s="429">
        <v>0.28562265738454307</v>
      </c>
      <c r="T108" s="429">
        <v>0.28907780780481246</v>
      </c>
      <c r="U108" s="429">
        <v>0.29225215672820098</v>
      </c>
      <c r="V108" s="427">
        <v>0.29901908259075705</v>
      </c>
      <c r="W108" s="429">
        <v>0.26421042550473056</v>
      </c>
      <c r="X108" s="189">
        <v>0.28161475404774383</v>
      </c>
      <c r="Y108" s="189"/>
      <c r="Z108" s="189"/>
      <c r="AA108" s="189"/>
    </row>
    <row r="109" spans="1:27" x14ac:dyDescent="0.2">
      <c r="A109" s="189"/>
      <c r="B109" s="427">
        <v>0.11470306614934125</v>
      </c>
      <c r="C109" s="427">
        <v>0.18226140038655977</v>
      </c>
      <c r="D109" s="427">
        <v>0.18451634543214934</v>
      </c>
      <c r="E109" s="427">
        <v>0.21749831109700885</v>
      </c>
      <c r="F109" s="427">
        <v>0.23511605580270423</v>
      </c>
      <c r="G109" s="427">
        <v>0.24551637930473474</v>
      </c>
      <c r="H109" s="427">
        <v>0.25241519415246499</v>
      </c>
      <c r="I109" s="427">
        <v>0.25735633485493509</v>
      </c>
      <c r="J109" s="427">
        <v>0.26108663374506536</v>
      </c>
      <c r="K109" s="427">
        <v>0.26401219951728117</v>
      </c>
      <c r="L109" s="429">
        <v>0.11470306614934125</v>
      </c>
      <c r="M109" s="429">
        <v>0.17745839868462307</v>
      </c>
      <c r="N109" s="429">
        <v>0.18481945226007579</v>
      </c>
      <c r="O109" s="429">
        <v>0.18976254057755335</v>
      </c>
      <c r="P109" s="429">
        <v>0.1942377502719041</v>
      </c>
      <c r="Q109" s="429">
        <v>0.19665867568641401</v>
      </c>
      <c r="R109" s="429">
        <v>0.19998105517214082</v>
      </c>
      <c r="S109" s="429">
        <v>0.20303247791273893</v>
      </c>
      <c r="T109" s="429">
        <v>0.20584651886617283</v>
      </c>
      <c r="U109" s="429">
        <v>0.20845169234124983</v>
      </c>
      <c r="V109" s="427">
        <v>0.21779192596473104</v>
      </c>
      <c r="W109" s="429">
        <v>0.18563403740383966</v>
      </c>
      <c r="X109" s="189">
        <v>0.20171298168428536</v>
      </c>
      <c r="Y109" s="189"/>
      <c r="Z109" s="189"/>
      <c r="AA109" s="189"/>
    </row>
    <row r="110" spans="1:27" x14ac:dyDescent="0.2">
      <c r="A110" s="189"/>
      <c r="B110" s="427">
        <v>0.10485735394198599</v>
      </c>
      <c r="C110" s="427">
        <v>0.15688922854984672</v>
      </c>
      <c r="D110" s="427">
        <v>0.15973799449177087</v>
      </c>
      <c r="E110" s="427">
        <v>0.18453822669526965</v>
      </c>
      <c r="F110" s="427">
        <v>0.19810968824483408</v>
      </c>
      <c r="G110" s="427">
        <v>0.20558570259896003</v>
      </c>
      <c r="H110" s="427">
        <v>0.21034004853487007</v>
      </c>
      <c r="I110" s="427">
        <v>0.21364832504810394</v>
      </c>
      <c r="J110" s="427">
        <v>0.21609380512230572</v>
      </c>
      <c r="K110" s="427">
        <v>0.2179812299947666</v>
      </c>
      <c r="L110" s="429">
        <v>0.10485735394198599</v>
      </c>
      <c r="M110" s="429">
        <v>0.15687312543357199</v>
      </c>
      <c r="N110" s="429">
        <v>0.16533442896507158</v>
      </c>
      <c r="O110" s="429">
        <v>0.16820290201064905</v>
      </c>
      <c r="P110" s="429">
        <v>0.17223241522269608</v>
      </c>
      <c r="Q110" s="429">
        <v>0.17373459999630889</v>
      </c>
      <c r="R110" s="429">
        <v>0.176188007991292</v>
      </c>
      <c r="S110" s="429">
        <v>0.17843102749177675</v>
      </c>
      <c r="T110" s="429">
        <v>0.18048797440388992</v>
      </c>
      <c r="U110" s="429">
        <v>0.18238071927958421</v>
      </c>
      <c r="V110" s="427">
        <v>0.18427446772877817</v>
      </c>
      <c r="W110" s="429">
        <v>0.16467028795040659</v>
      </c>
      <c r="X110" s="189">
        <v>0.17447237783959238</v>
      </c>
      <c r="Y110" s="189"/>
      <c r="Z110" s="189"/>
      <c r="AA110" s="189"/>
    </row>
    <row r="111" spans="1:27" x14ac:dyDescent="0.2">
      <c r="A111" s="189"/>
      <c r="B111" s="427">
        <v>0.40457865555010125</v>
      </c>
      <c r="C111" s="427">
        <v>0.60573745362102849</v>
      </c>
      <c r="D111" s="427">
        <v>0.61815790488204769</v>
      </c>
      <c r="E111" s="427">
        <v>0.73186967024385197</v>
      </c>
      <c r="F111" s="427">
        <v>0.78649124195293929</v>
      </c>
      <c r="G111" s="427">
        <v>0.81394339055475695</v>
      </c>
      <c r="H111" s="427">
        <v>0.83052582560364463</v>
      </c>
      <c r="I111" s="427">
        <v>0.84165790637999527</v>
      </c>
      <c r="J111" s="427">
        <v>0.84965992653600053</v>
      </c>
      <c r="K111" s="427">
        <v>0.85569492415870541</v>
      </c>
      <c r="L111" s="429">
        <v>0.40457865555010125</v>
      </c>
      <c r="M111" s="429">
        <v>0.60484768128277289</v>
      </c>
      <c r="N111" s="429">
        <v>0.64736426286066484</v>
      </c>
      <c r="O111" s="429">
        <v>0.65924905999080596</v>
      </c>
      <c r="P111" s="429">
        <v>0.67299911136206358</v>
      </c>
      <c r="Q111" s="429">
        <v>0.68150013901670625</v>
      </c>
      <c r="R111" s="429">
        <v>0.69116127873908051</v>
      </c>
      <c r="S111" s="429">
        <v>0.69999299173354779</v>
      </c>
      <c r="T111" s="429">
        <v>0.70809464439016701</v>
      </c>
      <c r="U111" s="429">
        <v>0.71555246094807656</v>
      </c>
      <c r="V111" s="427">
        <v>0.72257290683113296</v>
      </c>
      <c r="W111" s="429">
        <v>0.64149536650250372</v>
      </c>
      <c r="X111" s="189">
        <v>0.68203413666681834</v>
      </c>
      <c r="Y111" s="189"/>
      <c r="Z111" s="189"/>
      <c r="AA111" s="189"/>
    </row>
    <row r="112" spans="1:27" x14ac:dyDescent="0.2">
      <c r="A112" s="189"/>
      <c r="B112" s="427">
        <v>0.43796253350669445</v>
      </c>
      <c r="C112" s="427">
        <v>0.67461773860494711</v>
      </c>
      <c r="D112" s="427">
        <v>0.68362089642142121</v>
      </c>
      <c r="E112" s="427">
        <v>0.81843766946594698</v>
      </c>
      <c r="F112" s="427">
        <v>0.87387374828817421</v>
      </c>
      <c r="G112" s="427">
        <v>0.90305097941037804</v>
      </c>
      <c r="H112" s="427">
        <v>0.92116125234056534</v>
      </c>
      <c r="I112" s="427">
        <v>0.93352963286405233</v>
      </c>
      <c r="J112" s="427">
        <v>0.94252474439198219</v>
      </c>
      <c r="K112" s="427">
        <v>0.94936583319278012</v>
      </c>
      <c r="L112" s="429">
        <v>0.43796253350669445</v>
      </c>
      <c r="M112" s="429">
        <v>0.67338378753703132</v>
      </c>
      <c r="N112" s="429">
        <v>0.69530689234543919</v>
      </c>
      <c r="O112" s="429">
        <v>0.71062528119167068</v>
      </c>
      <c r="P112" s="429">
        <v>0.72553473202778718</v>
      </c>
      <c r="Q112" s="429">
        <v>0.73790419089873727</v>
      </c>
      <c r="R112" s="429">
        <v>0.74969029095071837</v>
      </c>
      <c r="S112" s="429">
        <v>0.76044490253169339</v>
      </c>
      <c r="T112" s="429">
        <v>0.77029577854244269</v>
      </c>
      <c r="U112" s="429">
        <v>0.77935232925279796</v>
      </c>
      <c r="V112" s="427">
        <v>0.80272819637441339</v>
      </c>
      <c r="W112" s="429">
        <v>0.69903965041584437</v>
      </c>
      <c r="X112" s="189">
        <v>0.75088392339512888</v>
      </c>
      <c r="Y112" s="189"/>
      <c r="Z112" s="189"/>
      <c r="AA112" s="189"/>
    </row>
    <row r="113" spans="1:27" x14ac:dyDescent="0.2">
      <c r="A113" s="189"/>
      <c r="B113" s="427">
        <v>0.54880209914600175</v>
      </c>
      <c r="C113" s="427">
        <v>0.80248172418745944</v>
      </c>
      <c r="D113" s="427">
        <v>0.80410577452481391</v>
      </c>
      <c r="E113" s="427">
        <v>0.89411819074987098</v>
      </c>
      <c r="F113" s="427">
        <v>0.92817652798021177</v>
      </c>
      <c r="G113" s="427">
        <v>0.9454885386951527</v>
      </c>
      <c r="H113" s="427">
        <v>0.95600966325613856</v>
      </c>
      <c r="I113" s="427">
        <v>0.96309826337190096</v>
      </c>
      <c r="J113" s="427">
        <v>0.96820572839996133</v>
      </c>
      <c r="K113" s="427">
        <v>0.97206397343503737</v>
      </c>
      <c r="L113" s="429">
        <v>0.54880209914600175</v>
      </c>
      <c r="M113" s="429">
        <v>0.80243249292364582</v>
      </c>
      <c r="N113" s="429">
        <v>0.82690785385604471</v>
      </c>
      <c r="O113" s="429">
        <v>0.8362103117220504</v>
      </c>
      <c r="P113" s="429">
        <v>0.84475693059563406</v>
      </c>
      <c r="Q113" s="429">
        <v>0.85197953260378212</v>
      </c>
      <c r="R113" s="429">
        <v>0.85880525751909242</v>
      </c>
      <c r="S113" s="429">
        <v>0.8650226970512308</v>
      </c>
      <c r="T113" s="429">
        <v>0.87071009309401548</v>
      </c>
      <c r="U113" s="429">
        <v>0.8759328576244515</v>
      </c>
      <c r="V113" s="427">
        <v>0.88204757013171264</v>
      </c>
      <c r="W113" s="429">
        <v>0.82499185606381875</v>
      </c>
      <c r="X113" s="189">
        <v>0.85351971309776564</v>
      </c>
      <c r="Y113" s="189"/>
      <c r="Z113" s="189"/>
      <c r="AA113" s="189"/>
    </row>
    <row r="114" spans="1:27" x14ac:dyDescent="0.2">
      <c r="A114" s="189"/>
      <c r="B114" s="427">
        <v>0.44948005513123795</v>
      </c>
      <c r="C114" s="427">
        <v>0.70022811599125212</v>
      </c>
      <c r="D114" s="427">
        <v>0.70126988021825321</v>
      </c>
      <c r="E114" s="427">
        <v>0.83351391674252073</v>
      </c>
      <c r="F114" s="427">
        <v>0.88598629670299545</v>
      </c>
      <c r="G114" s="427">
        <v>0.91299260274253435</v>
      </c>
      <c r="H114" s="427">
        <v>0.92951820853317213</v>
      </c>
      <c r="I114" s="427">
        <v>0.94070136166115093</v>
      </c>
      <c r="J114" s="427">
        <v>0.94878516580321148</v>
      </c>
      <c r="K114" s="427">
        <v>0.95490777420990069</v>
      </c>
      <c r="L114" s="429">
        <v>0.44948005513123795</v>
      </c>
      <c r="M114" s="429">
        <v>0.6969594669776803</v>
      </c>
      <c r="N114" s="429">
        <v>0.72490090872748414</v>
      </c>
      <c r="O114" s="429">
        <v>0.74223607344660958</v>
      </c>
      <c r="P114" s="429">
        <v>0.75427686852221809</v>
      </c>
      <c r="Q114" s="429">
        <v>0.76451982237619731</v>
      </c>
      <c r="R114" s="429">
        <v>0.7753665455610963</v>
      </c>
      <c r="S114" s="429">
        <v>0.78523389580484626</v>
      </c>
      <c r="T114" s="429">
        <v>0.79425046128368526</v>
      </c>
      <c r="U114" s="429">
        <v>0.80252332242994551</v>
      </c>
      <c r="V114" s="427">
        <v>0.81832859219370824</v>
      </c>
      <c r="W114" s="429">
        <v>0.72631369983531247</v>
      </c>
      <c r="X114" s="189">
        <v>0.7723211460145103</v>
      </c>
      <c r="Y114" s="189"/>
      <c r="Z114" s="189"/>
      <c r="AA114" s="189"/>
    </row>
    <row r="115" spans="1:27" x14ac:dyDescent="0.2">
      <c r="A115" s="189"/>
      <c r="B115" s="427">
        <v>0.19778835182302182</v>
      </c>
      <c r="C115" s="427">
        <v>0.32034317320052474</v>
      </c>
      <c r="D115" s="427">
        <v>0.32146935123156545</v>
      </c>
      <c r="E115" s="427">
        <v>0.38505859171119267</v>
      </c>
      <c r="F115" s="427">
        <v>0.41394735847301933</v>
      </c>
      <c r="G115" s="427">
        <v>0.43049943059921753</v>
      </c>
      <c r="H115" s="427">
        <v>0.4413197899914959</v>
      </c>
      <c r="I115" s="427">
        <v>0.44897788238620479</v>
      </c>
      <c r="J115" s="427">
        <v>0.45469665511928942</v>
      </c>
      <c r="K115" s="427">
        <v>0.45913655717654495</v>
      </c>
      <c r="L115" s="429">
        <v>0.19778835182302182</v>
      </c>
      <c r="M115" s="429">
        <v>0.31264798655912734</v>
      </c>
      <c r="N115" s="429">
        <v>0.31568399054855278</v>
      </c>
      <c r="O115" s="429">
        <v>0.3240251178000601</v>
      </c>
      <c r="P115" s="429">
        <v>0.3319261300461675</v>
      </c>
      <c r="Q115" s="429">
        <v>0.33839039114366382</v>
      </c>
      <c r="R115" s="429">
        <v>0.34475599126779838</v>
      </c>
      <c r="S115" s="429">
        <v>0.35058530921502096</v>
      </c>
      <c r="T115" s="429">
        <v>0.35594360155199017</v>
      </c>
      <c r="U115" s="429">
        <v>0.36088701877811813</v>
      </c>
      <c r="V115" s="427">
        <v>0.38181455367927458</v>
      </c>
      <c r="W115" s="429">
        <v>0.32083410585331934</v>
      </c>
      <c r="X115" s="189">
        <v>0.35132432976629696</v>
      </c>
      <c r="Y115" s="189"/>
      <c r="Z115" s="189"/>
      <c r="AA115" s="189"/>
    </row>
    <row r="116" spans="1:27" x14ac:dyDescent="0.2">
      <c r="A116" s="189"/>
      <c r="B116" s="427">
        <v>0.3655685082133453</v>
      </c>
      <c r="C116" s="427">
        <v>0.64199589607789664</v>
      </c>
      <c r="D116" s="427">
        <v>0.64231512743322006</v>
      </c>
      <c r="E116" s="427">
        <v>0.75605261655071643</v>
      </c>
      <c r="F116" s="427">
        <v>0.81187812707842599</v>
      </c>
      <c r="G116" s="427">
        <v>0.84598854905983678</v>
      </c>
      <c r="H116" s="427">
        <v>0.86926083131762222</v>
      </c>
      <c r="I116" s="427">
        <v>0.88624847296685783</v>
      </c>
      <c r="J116" s="427">
        <v>0.89923568524813535</v>
      </c>
      <c r="K116" s="427">
        <v>0.90950688792777012</v>
      </c>
      <c r="L116" s="429">
        <v>0.3655685082133453</v>
      </c>
      <c r="M116" s="429">
        <v>0.5234384456761646</v>
      </c>
      <c r="N116" s="429">
        <v>0.54413072578417498</v>
      </c>
      <c r="O116" s="429">
        <v>0.60725147757479525</v>
      </c>
      <c r="P116" s="429">
        <v>0.58205651615742326</v>
      </c>
      <c r="Q116" s="429">
        <v>0.59863222112937886</v>
      </c>
      <c r="R116" s="429">
        <v>0.61378336625049779</v>
      </c>
      <c r="S116" s="429">
        <v>0.62768892801704246</v>
      </c>
      <c r="T116" s="429">
        <v>0.64050867916527487</v>
      </c>
      <c r="U116" s="429">
        <v>0.65237528216653329</v>
      </c>
      <c r="V116" s="427">
        <v>0.75602676632772581</v>
      </c>
      <c r="W116" s="429">
        <v>0.55891725256826064</v>
      </c>
      <c r="X116" s="189">
        <v>0.65747200944799322</v>
      </c>
      <c r="Y116" s="189"/>
      <c r="Z116" s="189"/>
      <c r="AA116" s="189"/>
    </row>
    <row r="117" spans="1:27" x14ac:dyDescent="0.2">
      <c r="A117" s="189"/>
      <c r="B117" s="427">
        <v>0</v>
      </c>
      <c r="C117" s="427">
        <v>0</v>
      </c>
      <c r="D117" s="427">
        <v>0</v>
      </c>
      <c r="E117" s="427">
        <v>0</v>
      </c>
      <c r="F117" s="427">
        <v>0</v>
      </c>
      <c r="G117" s="427">
        <v>0</v>
      </c>
      <c r="H117" s="427">
        <v>0</v>
      </c>
      <c r="I117" s="427">
        <v>0</v>
      </c>
      <c r="J117" s="427">
        <v>0</v>
      </c>
      <c r="K117" s="427">
        <v>0</v>
      </c>
      <c r="L117" s="429">
        <v>0</v>
      </c>
      <c r="M117" s="429">
        <v>0</v>
      </c>
      <c r="N117" s="429">
        <v>0</v>
      </c>
      <c r="O117" s="429">
        <v>0</v>
      </c>
      <c r="P117" s="429">
        <v>0</v>
      </c>
      <c r="Q117" s="429">
        <v>0</v>
      </c>
      <c r="R117" s="429">
        <v>0</v>
      </c>
      <c r="S117" s="429">
        <v>0</v>
      </c>
      <c r="T117" s="429">
        <v>0</v>
      </c>
      <c r="U117" s="429">
        <v>0</v>
      </c>
      <c r="V117" s="427">
        <v>0</v>
      </c>
      <c r="W117" s="429">
        <v>0</v>
      </c>
      <c r="X117" s="189">
        <v>0</v>
      </c>
      <c r="Y117" s="189"/>
      <c r="Z117" s="189"/>
      <c r="AA117" s="189"/>
    </row>
    <row r="118" spans="1:27" x14ac:dyDescent="0.2">
      <c r="A118" s="189"/>
      <c r="B118" s="427">
        <v>0.18592154943623276</v>
      </c>
      <c r="C118" s="427">
        <v>0.26340277178427524</v>
      </c>
      <c r="D118" s="427">
        <v>0.27395016361105351</v>
      </c>
      <c r="E118" s="427">
        <v>0.31882059639638255</v>
      </c>
      <c r="F118" s="427">
        <v>0.34004597275371168</v>
      </c>
      <c r="G118" s="427">
        <v>0.35205396004948925</v>
      </c>
      <c r="H118" s="427">
        <v>0.35980396226444072</v>
      </c>
      <c r="I118" s="427">
        <v>0.36524560625232511</v>
      </c>
      <c r="J118" s="427">
        <v>0.36929283231092158</v>
      </c>
      <c r="K118" s="427">
        <v>0.37243056993717893</v>
      </c>
      <c r="L118" s="429">
        <v>0.18592154943623276</v>
      </c>
      <c r="M118" s="429">
        <v>0.26279604744957763</v>
      </c>
      <c r="N118" s="429">
        <v>0.26543591506990122</v>
      </c>
      <c r="O118" s="429">
        <v>0.27180934590404854</v>
      </c>
      <c r="P118" s="429">
        <v>0.27809028927391499</v>
      </c>
      <c r="Q118" s="429">
        <v>0.28333056279048979</v>
      </c>
      <c r="R118" s="429">
        <v>0.2883684889809694</v>
      </c>
      <c r="S118" s="429">
        <v>0.29295814451252067</v>
      </c>
      <c r="T118" s="429">
        <v>0.29715272105305468</v>
      </c>
      <c r="U118" s="429">
        <v>0.30099995079946817</v>
      </c>
      <c r="V118" s="427">
        <v>0.3143050756460446</v>
      </c>
      <c r="W118" s="429">
        <v>0.26935636232731097</v>
      </c>
      <c r="X118" s="189">
        <v>0.29183071898667778</v>
      </c>
      <c r="Y118" s="189"/>
      <c r="Z118" s="189"/>
      <c r="AA118" s="189"/>
    </row>
    <row r="119" spans="1:27" x14ac:dyDescent="0.2">
      <c r="A119" s="189"/>
      <c r="B119" s="427">
        <v>7.1103914975424454E-2</v>
      </c>
      <c r="C119" s="427">
        <v>0.11076820225957575</v>
      </c>
      <c r="D119" s="427">
        <v>0.11218673007728741</v>
      </c>
      <c r="E119" s="427">
        <v>0.13450799419446188</v>
      </c>
      <c r="F119" s="427">
        <v>0.14659816792556887</v>
      </c>
      <c r="G119" s="427">
        <v>0.1533828656462462</v>
      </c>
      <c r="H119" s="427">
        <v>0.1577199239946504</v>
      </c>
      <c r="I119" s="427">
        <v>0.16074023276670218</v>
      </c>
      <c r="J119" s="427">
        <v>0.16297125408217425</v>
      </c>
      <c r="K119" s="427">
        <v>0.16469105450782687</v>
      </c>
      <c r="L119" s="429">
        <v>7.1103914975424454E-2</v>
      </c>
      <c r="M119" s="429">
        <v>0.11066891318135524</v>
      </c>
      <c r="N119" s="429">
        <v>0.11384816771233329</v>
      </c>
      <c r="O119" s="429">
        <v>0.11650232749189054</v>
      </c>
      <c r="P119" s="429">
        <v>0.11948368918873736</v>
      </c>
      <c r="Q119" s="429">
        <v>0.12168778441732345</v>
      </c>
      <c r="R119" s="429">
        <v>0.12400647260396243</v>
      </c>
      <c r="S119" s="429">
        <v>0.12613450742861482</v>
      </c>
      <c r="T119" s="429">
        <v>0.12809073812631172</v>
      </c>
      <c r="U119" s="429">
        <v>0.12989386982167841</v>
      </c>
      <c r="V119" s="427">
        <v>0.13457863232442005</v>
      </c>
      <c r="W119" s="429">
        <v>0.11483495061768033</v>
      </c>
      <c r="X119" s="189">
        <v>0.12470679147105018</v>
      </c>
      <c r="Y119" s="189"/>
      <c r="Z119" s="189"/>
      <c r="AA119" s="189"/>
    </row>
    <row r="120" spans="1:27" x14ac:dyDescent="0.2">
      <c r="A120" s="189"/>
      <c r="B120" s="427">
        <v>0</v>
      </c>
      <c r="C120" s="427">
        <v>0</v>
      </c>
      <c r="D120" s="427">
        <v>0</v>
      </c>
      <c r="E120" s="427">
        <v>0</v>
      </c>
      <c r="F120" s="427">
        <v>0</v>
      </c>
      <c r="G120" s="427">
        <v>0</v>
      </c>
      <c r="H120" s="427">
        <v>0</v>
      </c>
      <c r="I120" s="427">
        <v>0</v>
      </c>
      <c r="J120" s="427">
        <v>0</v>
      </c>
      <c r="K120" s="427">
        <v>0</v>
      </c>
      <c r="L120" s="429">
        <v>0</v>
      </c>
      <c r="M120" s="429">
        <v>0</v>
      </c>
      <c r="N120" s="429">
        <v>0</v>
      </c>
      <c r="O120" s="429">
        <v>0</v>
      </c>
      <c r="P120" s="429">
        <v>0</v>
      </c>
      <c r="Q120" s="429">
        <v>0</v>
      </c>
      <c r="R120" s="429">
        <v>0</v>
      </c>
      <c r="S120" s="429">
        <v>0</v>
      </c>
      <c r="T120" s="429">
        <v>0</v>
      </c>
      <c r="U120" s="429">
        <v>0</v>
      </c>
      <c r="V120" s="427">
        <v>0</v>
      </c>
      <c r="W120" s="429">
        <v>0</v>
      </c>
      <c r="X120" s="189">
        <v>0</v>
      </c>
      <c r="Y120" s="189"/>
      <c r="Z120" s="189"/>
      <c r="AA120" s="189"/>
    </row>
    <row r="121" spans="1:27" x14ac:dyDescent="0.2">
      <c r="A121" s="189"/>
      <c r="B121" s="427">
        <v>0.44205557792542954</v>
      </c>
      <c r="C121" s="427">
        <v>0.56422519505096891</v>
      </c>
      <c r="D121" s="427">
        <v>0.61201021287529356</v>
      </c>
      <c r="E121" s="427">
        <v>0.68817022586571741</v>
      </c>
      <c r="F121" s="427">
        <v>0.72951514131695205</v>
      </c>
      <c r="G121" s="427">
        <v>0.75361857751792893</v>
      </c>
      <c r="H121" s="427">
        <v>0.7694228368062862</v>
      </c>
      <c r="I121" s="427">
        <v>0.78063975907480199</v>
      </c>
      <c r="J121" s="427">
        <v>0.78904947151463811</v>
      </c>
      <c r="K121" s="427">
        <v>0.79561033220332467</v>
      </c>
      <c r="L121" s="429">
        <v>0.44205557792542954</v>
      </c>
      <c r="M121" s="429">
        <v>0.56413528891024534</v>
      </c>
      <c r="N121" s="429">
        <v>0.57791298276733305</v>
      </c>
      <c r="O121" s="429">
        <v>0.59051039537405403</v>
      </c>
      <c r="P121" s="429">
        <v>0.60413835371935987</v>
      </c>
      <c r="Q121" s="429">
        <v>0.61400897653291209</v>
      </c>
      <c r="R121" s="429">
        <v>0.62423721589031689</v>
      </c>
      <c r="S121" s="429">
        <v>0.63355857029907192</v>
      </c>
      <c r="T121" s="429">
        <v>0.64208022843378409</v>
      </c>
      <c r="U121" s="429">
        <v>0.64989857017966379</v>
      </c>
      <c r="V121" s="427">
        <v>0.67694291133425744</v>
      </c>
      <c r="W121" s="429">
        <v>0.58282103565631371</v>
      </c>
      <c r="X121" s="189">
        <v>0.62988197349528563</v>
      </c>
      <c r="Y121" s="189"/>
      <c r="Z121" s="189"/>
      <c r="AA121" s="189"/>
    </row>
    <row r="122" spans="1:27" x14ac:dyDescent="0.2">
      <c r="A122" s="189"/>
      <c r="B122" s="427">
        <v>0.41100061946788119</v>
      </c>
      <c r="C122" s="427">
        <v>0.53662523109291538</v>
      </c>
      <c r="D122" s="427">
        <v>0.58488540860782812</v>
      </c>
      <c r="E122" s="427">
        <v>0.64845565053630894</v>
      </c>
      <c r="F122" s="427">
        <v>0.7824592294361481</v>
      </c>
      <c r="G122" s="427">
        <v>0.84267034124498785</v>
      </c>
      <c r="H122" s="427">
        <v>0.87673258961546108</v>
      </c>
      <c r="I122" s="427">
        <v>0.89864192989934033</v>
      </c>
      <c r="J122" s="427">
        <v>0.91392247193054221</v>
      </c>
      <c r="K122" s="427">
        <v>0.92519021131331769</v>
      </c>
      <c r="L122" s="429">
        <v>0.41100061946788119</v>
      </c>
      <c r="M122" s="429">
        <v>0.53649674626089205</v>
      </c>
      <c r="N122" s="429">
        <v>0.75546538335881264</v>
      </c>
      <c r="O122" s="429">
        <v>0.7586942473575754</v>
      </c>
      <c r="P122" s="429">
        <v>0.78337114134157526</v>
      </c>
      <c r="Q122" s="429">
        <v>0.77431693836238003</v>
      </c>
      <c r="R122" s="429">
        <v>0.78145814225573984</v>
      </c>
      <c r="S122" s="429">
        <v>0.78813683852919614</v>
      </c>
      <c r="T122" s="429">
        <v>0.79439057835032723</v>
      </c>
      <c r="U122" s="429">
        <v>0.80025757643158202</v>
      </c>
      <c r="V122" s="427">
        <v>0.70746155890020068</v>
      </c>
      <c r="W122" s="429">
        <v>0.68305506995746901</v>
      </c>
      <c r="X122" s="189">
        <v>0.6952583144288349</v>
      </c>
      <c r="Y122" s="189"/>
      <c r="Z122" s="189"/>
      <c r="AA122" s="189"/>
    </row>
    <row r="123" spans="1:27" x14ac:dyDescent="0.2">
      <c r="A123" s="189" t="s">
        <v>98</v>
      </c>
      <c r="B123" s="427">
        <v>0.39766329363497427</v>
      </c>
      <c r="C123" s="427">
        <v>0.54834147774206188</v>
      </c>
      <c r="D123" s="427">
        <v>0.57794565791449082</v>
      </c>
      <c r="E123" s="427">
        <v>0.65768557119157534</v>
      </c>
      <c r="F123" s="427">
        <v>0.75629909271136175</v>
      </c>
      <c r="G123" s="427">
        <v>0.80168125671848689</v>
      </c>
      <c r="H123" s="427">
        <v>0.8275949810575074</v>
      </c>
      <c r="I123" s="427">
        <v>0.84434432732800013</v>
      </c>
      <c r="J123" s="427">
        <v>0.85606115620074852</v>
      </c>
      <c r="K123" s="427">
        <v>0.86471887987495244</v>
      </c>
      <c r="L123" s="429">
        <v>0.39766329363497427</v>
      </c>
      <c r="M123" s="429">
        <v>0.54829689589781072</v>
      </c>
      <c r="N123" s="429">
        <v>0.70438558338230151</v>
      </c>
      <c r="O123" s="429">
        <v>0.70953378778377518</v>
      </c>
      <c r="P123" s="429">
        <v>0.72906691681859981</v>
      </c>
      <c r="Q123" s="429">
        <v>0.72525234982958875</v>
      </c>
      <c r="R123" s="429">
        <v>0.73232892068051247</v>
      </c>
      <c r="S123" s="429">
        <v>0.73889068979293693</v>
      </c>
      <c r="T123" s="429">
        <v>0.74498695066101117</v>
      </c>
      <c r="U123" s="429">
        <v>0.75066462310340776</v>
      </c>
      <c r="V123" s="427">
        <v>0.68941108056578171</v>
      </c>
      <c r="W123" s="429">
        <v>0.6547649835488194</v>
      </c>
      <c r="X123" s="189">
        <v>0.67208803205730061</v>
      </c>
      <c r="Y123" s="171"/>
      <c r="Z123" s="171"/>
    </row>
    <row r="124" spans="1:27" x14ac:dyDescent="0.2">
      <c r="A124" s="189" t="s">
        <v>100</v>
      </c>
      <c r="B124" s="189">
        <v>0.50908449991923477</v>
      </c>
      <c r="C124" s="189">
        <v>0.70140588842375207</v>
      </c>
      <c r="D124" s="189">
        <v>0.71885976242744964</v>
      </c>
      <c r="E124" s="189">
        <v>0.78827112916254027</v>
      </c>
      <c r="F124" s="189">
        <v>0.85833541897257526</v>
      </c>
      <c r="G124" s="189">
        <v>0.89436347772743618</v>
      </c>
      <c r="H124" s="189">
        <v>0.91584408686024543</v>
      </c>
      <c r="I124" s="189">
        <v>0.93005667656004587</v>
      </c>
      <c r="J124" s="189">
        <v>0.9401493966832003</v>
      </c>
      <c r="K124" s="189">
        <v>0.94768682583479702</v>
      </c>
      <c r="L124" s="189">
        <v>0.50908449991923477</v>
      </c>
      <c r="M124" s="189">
        <v>0.70105579124456052</v>
      </c>
      <c r="N124" s="189">
        <v>0.82953484082571205</v>
      </c>
      <c r="O124" s="189">
        <v>0.83381748743638395</v>
      </c>
      <c r="P124" s="189">
        <v>0.84812155244396492</v>
      </c>
      <c r="Q124" s="189">
        <v>0.84476091854683111</v>
      </c>
      <c r="R124" s="189">
        <v>0.84983952571855337</v>
      </c>
      <c r="S124" s="189">
        <v>0.85456316624591444</v>
      </c>
      <c r="T124" s="189">
        <v>0.85896372336537308</v>
      </c>
      <c r="U124" s="189">
        <v>0.86307291907036277</v>
      </c>
      <c r="V124" s="189">
        <v>0.80893715813636857</v>
      </c>
      <c r="W124" s="189">
        <v>0.78823296552002908</v>
      </c>
      <c r="X124" s="189">
        <v>0.79858506182819888</v>
      </c>
      <c r="Y124" s="171"/>
      <c r="Z124" s="171"/>
    </row>
    <row r="125" spans="1:27" x14ac:dyDescent="0.2">
      <c r="A125" s="189" t="s">
        <v>102</v>
      </c>
      <c r="B125" s="189">
        <v>0.41834157838604696</v>
      </c>
      <c r="C125" s="189">
        <v>0.61089418602871903</v>
      </c>
      <c r="D125" s="189">
        <v>0.62916231990806171</v>
      </c>
      <c r="E125" s="189">
        <v>0.73116123572562763</v>
      </c>
      <c r="F125" s="189">
        <v>0.81184977122691915</v>
      </c>
      <c r="G125" s="189">
        <v>0.8544447059968926</v>
      </c>
      <c r="H125" s="189">
        <v>0.88062171969566883</v>
      </c>
      <c r="I125" s="189">
        <v>0.89842041857298249</v>
      </c>
      <c r="J125" s="189">
        <v>0.91136826377783464</v>
      </c>
      <c r="K125" s="189">
        <v>0.92124715520562483</v>
      </c>
      <c r="L125" s="189">
        <v>0.41834157838604696</v>
      </c>
      <c r="M125" s="189">
        <v>0.60753556387348528</v>
      </c>
      <c r="N125" s="189">
        <v>0.71773988001051414</v>
      </c>
      <c r="O125" s="189">
        <v>0.72792574065236948</v>
      </c>
      <c r="P125" s="189">
        <v>0.74859428245905812</v>
      </c>
      <c r="Q125" s="189">
        <v>0.74658803600812174</v>
      </c>
      <c r="R125" s="189">
        <v>0.75572966429172439</v>
      </c>
      <c r="S125" s="189">
        <v>0.76415646291755213</v>
      </c>
      <c r="T125" s="189">
        <v>0.77194243966582132</v>
      </c>
      <c r="U125" s="189">
        <v>0.7791571635821305</v>
      </c>
      <c r="V125" s="189">
        <v>0.74709618506700137</v>
      </c>
      <c r="W125" s="189">
        <v>0.6871976904223045</v>
      </c>
      <c r="X125" s="189">
        <v>0.71714693774465288</v>
      </c>
      <c r="Y125" s="171"/>
      <c r="Z125" s="171"/>
    </row>
    <row r="126" spans="1:27" x14ac:dyDescent="0.2">
      <c r="A126" s="189" t="s">
        <v>104</v>
      </c>
      <c r="B126" s="189">
        <v>0.18791365657590123</v>
      </c>
      <c r="C126" s="189">
        <v>0.25985512287112728</v>
      </c>
      <c r="D126" s="189">
        <v>0.27982684181852152</v>
      </c>
      <c r="E126" s="189">
        <v>0.3170247579684583</v>
      </c>
      <c r="F126" s="189">
        <v>0.37643578302884823</v>
      </c>
      <c r="G126" s="189">
        <v>0.40640115167638219</v>
      </c>
      <c r="H126" s="189">
        <v>0.42418261991699868</v>
      </c>
      <c r="I126" s="189">
        <v>0.43593330821508097</v>
      </c>
      <c r="J126" s="189">
        <v>0.44427715808668272</v>
      </c>
      <c r="K126" s="189">
        <v>0.45051096081041425</v>
      </c>
      <c r="L126" s="189">
        <v>0.18791365657590123</v>
      </c>
      <c r="M126" s="189">
        <v>0.25334203907757608</v>
      </c>
      <c r="N126" s="189">
        <v>0.33968817563230452</v>
      </c>
      <c r="O126" s="189">
        <v>0.34328180851902745</v>
      </c>
      <c r="P126" s="189">
        <v>0.35550703026595692</v>
      </c>
      <c r="Q126" s="189">
        <v>0.35293463011649373</v>
      </c>
      <c r="R126" s="189">
        <v>0.35769912734439951</v>
      </c>
      <c r="S126" s="189">
        <v>0.36213933749226013</v>
      </c>
      <c r="T126" s="189">
        <v>0.36627975546134861</v>
      </c>
      <c r="U126" s="189">
        <v>0.37014760179359701</v>
      </c>
      <c r="V126" s="189">
        <v>0.34195885703113388</v>
      </c>
      <c r="W126" s="189">
        <v>0.3128624730541168</v>
      </c>
      <c r="X126" s="189">
        <v>0.32741066504262534</v>
      </c>
      <c r="Y126" s="171"/>
      <c r="Z126" s="171"/>
    </row>
    <row r="127" spans="1:27" x14ac:dyDescent="0.2">
      <c r="A127" s="171" t="s">
        <v>106</v>
      </c>
      <c r="B127" s="171">
        <v>0.32653782979350976</v>
      </c>
      <c r="C127" s="171">
        <v>0.53669179443964732</v>
      </c>
      <c r="D127" s="171">
        <v>0.53993152509904752</v>
      </c>
      <c r="E127" s="171">
        <v>0.62732479493171589</v>
      </c>
      <c r="F127" s="171">
        <v>0.67618981590244687</v>
      </c>
      <c r="G127" s="171">
        <v>0.70666021724566419</v>
      </c>
      <c r="H127" s="171">
        <v>0.72798465472118656</v>
      </c>
      <c r="I127" s="171">
        <v>0.74397300907723118</v>
      </c>
      <c r="J127" s="171">
        <v>0.75651386724850567</v>
      </c>
      <c r="K127" s="171">
        <v>0.76666940299649378</v>
      </c>
      <c r="L127" s="171">
        <v>0.32653782979350976</v>
      </c>
      <c r="M127" s="171">
        <v>0.4574933079749352</v>
      </c>
      <c r="N127" s="171">
        <v>0.50959356403953948</v>
      </c>
      <c r="O127" s="171">
        <v>0.54893875730868202</v>
      </c>
      <c r="P127" s="171">
        <v>0.53836073070127155</v>
      </c>
      <c r="Q127" s="171">
        <v>0.54410016025457442</v>
      </c>
      <c r="R127" s="171">
        <v>0.55388993561215316</v>
      </c>
      <c r="S127" s="171">
        <v>0.56295145421972104</v>
      </c>
      <c r="T127" s="171">
        <v>0.57137136723609494</v>
      </c>
      <c r="U127" s="171">
        <v>0.57922279423806089</v>
      </c>
      <c r="V127" s="171">
        <v>0.63237071135708089</v>
      </c>
      <c r="W127" s="171">
        <v>0.50537246533043134</v>
      </c>
      <c r="X127" s="171">
        <v>0.56887158834375606</v>
      </c>
      <c r="Y127" s="171"/>
      <c r="Z127" s="171"/>
    </row>
    <row r="128" spans="1:27" x14ac:dyDescent="0.2">
      <c r="A128" s="171" t="s">
        <v>108</v>
      </c>
      <c r="B128" s="171">
        <v>0.15707817420607151</v>
      </c>
      <c r="C128" s="171">
        <v>0.19055991725331192</v>
      </c>
      <c r="D128" s="171">
        <v>0.2409036091120389</v>
      </c>
      <c r="E128" s="171">
        <v>0.25842803137722414</v>
      </c>
      <c r="F128" s="171">
        <v>0.3918300122862261</v>
      </c>
      <c r="G128" s="171">
        <v>0.47406000588970015</v>
      </c>
      <c r="H128" s="171">
        <v>0.53338246025974934</v>
      </c>
      <c r="I128" s="171">
        <v>0.57922522709203972</v>
      </c>
      <c r="J128" s="171">
        <v>0.61611894115545518</v>
      </c>
      <c r="K128" s="171">
        <v>0.64663982939054565</v>
      </c>
      <c r="L128" s="171">
        <v>0.15707817420607151</v>
      </c>
      <c r="M128" s="171">
        <v>0.19011992995744653</v>
      </c>
      <c r="N128" s="171">
        <v>0.33770258931870489</v>
      </c>
      <c r="O128" s="171">
        <v>0.33914147683862156</v>
      </c>
      <c r="P128" s="171">
        <v>0.37361093520188904</v>
      </c>
      <c r="Q128" s="171">
        <v>0.35837878228644326</v>
      </c>
      <c r="R128" s="171">
        <v>0.36736679028356811</v>
      </c>
      <c r="S128" s="171">
        <v>0.37596345963377426</v>
      </c>
      <c r="T128" s="171">
        <v>0.38420109331671526</v>
      </c>
      <c r="U128" s="171">
        <v>0.39210968484031289</v>
      </c>
      <c r="V128" s="171">
        <v>0.35538047434201764</v>
      </c>
      <c r="W128" s="171">
        <v>0.29187681835495716</v>
      </c>
      <c r="X128" s="171">
        <v>0.32362864634848743</v>
      </c>
      <c r="Y128" s="171"/>
      <c r="Z128" s="171"/>
    </row>
    <row r="129" spans="1:26" x14ac:dyDescent="0.2">
      <c r="A129" s="171" t="s">
        <v>112</v>
      </c>
      <c r="B129" s="171">
        <v>0.48496672758932596</v>
      </c>
      <c r="C129" s="171">
        <v>0.62079941222032442</v>
      </c>
      <c r="D129" s="171">
        <v>0.67327859517677124</v>
      </c>
      <c r="E129" s="171">
        <v>0.75997327669564774</v>
      </c>
      <c r="F129" s="171">
        <v>0.80296028671878705</v>
      </c>
      <c r="G129" s="171">
        <v>0.82752668776470939</v>
      </c>
      <c r="H129" s="171">
        <v>0.84337866241893411</v>
      </c>
      <c r="I129" s="171">
        <v>0.85447136373213184</v>
      </c>
      <c r="J129" s="171">
        <v>0.8626845895234192</v>
      </c>
      <c r="K129" s="171">
        <v>0.86902182066564027</v>
      </c>
      <c r="L129" s="171">
        <v>0.48496672758932596</v>
      </c>
      <c r="M129" s="171">
        <v>0.62054114949644001</v>
      </c>
      <c r="N129" s="171">
        <v>0.62936427422288788</v>
      </c>
      <c r="O129" s="171">
        <v>0.64366487828600538</v>
      </c>
      <c r="P129" s="171">
        <v>0.65790255106810513</v>
      </c>
      <c r="Q129" s="171">
        <v>0.67009004954486473</v>
      </c>
      <c r="R129" s="171">
        <v>0.68158390798296742</v>
      </c>
      <c r="S129" s="171">
        <v>0.69204751187327385</v>
      </c>
      <c r="T129" s="171">
        <v>0.70160055175095193</v>
      </c>
      <c r="U129" s="171">
        <v>0.71035204258999951</v>
      </c>
      <c r="V129" s="171">
        <v>0.74384454305980929</v>
      </c>
      <c r="W129" s="171">
        <v>0.63721348344013651</v>
      </c>
      <c r="X129" s="171">
        <v>0.69052901324997285</v>
      </c>
      <c r="Y129" s="171"/>
      <c r="Z129" s="171"/>
    </row>
    <row r="130" spans="1:26" x14ac:dyDescent="0.2">
      <c r="A130" s="171" t="s">
        <v>173</v>
      </c>
      <c r="B130" s="171">
        <v>0.20250490848961744</v>
      </c>
      <c r="C130" s="171">
        <v>0.27372085812489722</v>
      </c>
      <c r="D130" s="171">
        <v>0.31330883493261918</v>
      </c>
      <c r="E130" s="171">
        <v>0.3534869395558477</v>
      </c>
      <c r="F130" s="171">
        <v>0.45794642454425588</v>
      </c>
      <c r="G130" s="171">
        <v>0.52550175256301757</v>
      </c>
      <c r="H130" s="171">
        <v>0.57471085623986817</v>
      </c>
      <c r="I130" s="171">
        <v>0.612894505050954</v>
      </c>
      <c r="J130" s="171">
        <v>0.6437061231918717</v>
      </c>
      <c r="K130" s="171">
        <v>0.66924886896671132</v>
      </c>
      <c r="L130" s="171">
        <v>0.20250490848961744</v>
      </c>
      <c r="M130" s="171">
        <v>0.26717200297640725</v>
      </c>
      <c r="N130" s="171">
        <v>0.37192179480312937</v>
      </c>
      <c r="O130" s="171">
        <v>0.3780810020805197</v>
      </c>
      <c r="P130" s="171">
        <v>0.40562202916473722</v>
      </c>
      <c r="Q130" s="171">
        <v>0.39732909490523188</v>
      </c>
      <c r="R130" s="171">
        <v>0.40695743239636134</v>
      </c>
      <c r="S130" s="171">
        <v>0.41605519572836352</v>
      </c>
      <c r="T130" s="171">
        <v>0.42466828755623764</v>
      </c>
      <c r="U130" s="171">
        <v>0.43284231159100123</v>
      </c>
      <c r="V130" s="171"/>
      <c r="W130" s="171"/>
      <c r="X130" s="171"/>
      <c r="Y130" s="171"/>
      <c r="Z130" s="171"/>
    </row>
    <row r="131" spans="1:26" x14ac:dyDescent="0.2">
      <c r="A131" s="171"/>
      <c r="B131" s="171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</row>
    <row r="132" spans="1:26" x14ac:dyDescent="0.2">
      <c r="A132" s="171"/>
      <c r="B132" s="171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</row>
    <row r="133" spans="1:26" x14ac:dyDescent="0.2">
      <c r="A133" s="171"/>
      <c r="B133" s="171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</row>
    <row r="134" spans="1:26" x14ac:dyDescent="0.2">
      <c r="A134" s="171"/>
      <c r="B134" s="171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</row>
    <row r="135" spans="1:26" x14ac:dyDescent="0.2">
      <c r="A135" s="171"/>
      <c r="B135" s="171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</row>
    <row r="136" spans="1:26" x14ac:dyDescent="0.2">
      <c r="A136" s="171"/>
      <c r="B136" s="171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</row>
    <row r="137" spans="1:26" x14ac:dyDescent="0.2">
      <c r="A137" s="171"/>
      <c r="B137" s="171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</row>
    <row r="138" spans="1:26" x14ac:dyDescent="0.2">
      <c r="A138" s="171"/>
      <c r="B138" s="171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</row>
    <row r="139" spans="1:26" x14ac:dyDescent="0.2">
      <c r="A139" s="171"/>
      <c r="B139" s="171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</row>
    <row r="140" spans="1:26" x14ac:dyDescent="0.2">
      <c r="A140" s="171"/>
      <c r="B140" s="171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</row>
    <row r="141" spans="1:26" x14ac:dyDescent="0.2">
      <c r="A141" s="171"/>
      <c r="B141" s="171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</row>
    <row r="142" spans="1:26" x14ac:dyDescent="0.2">
      <c r="A142" s="171"/>
      <c r="B142" s="171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</row>
    <row r="143" spans="1:26" x14ac:dyDescent="0.2">
      <c r="A143" s="171"/>
      <c r="B143" s="171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</row>
    <row r="144" spans="1:26" x14ac:dyDescent="0.2">
      <c r="A144" s="171"/>
      <c r="B144" s="171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</row>
    <row r="145" spans="1:21" x14ac:dyDescent="0.2">
      <c r="A145" s="171"/>
      <c r="B145" s="171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</row>
    <row r="146" spans="1:21" x14ac:dyDescent="0.2">
      <c r="A146" s="171"/>
      <c r="B146" s="171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</row>
    <row r="147" spans="1:21" x14ac:dyDescent="0.2">
      <c r="B147" s="171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</row>
    <row r="148" spans="1:21" x14ac:dyDescent="0.2"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</row>
    <row r="149" spans="1:21" x14ac:dyDescent="0.2">
      <c r="B149" s="171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</row>
    <row r="150" spans="1:21" x14ac:dyDescent="0.2">
      <c r="B150" s="171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</row>
    <row r="151" spans="1:21" x14ac:dyDescent="0.2">
      <c r="B151" s="171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</row>
    <row r="152" spans="1:21" x14ac:dyDescent="0.2">
      <c r="B152" s="171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</row>
    <row r="153" spans="1:21" x14ac:dyDescent="0.2">
      <c r="B153" s="171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</row>
    <row r="154" spans="1:21" x14ac:dyDescent="0.2">
      <c r="B154" s="171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</row>
    <row r="155" spans="1:21" x14ac:dyDescent="0.2">
      <c r="B155" s="171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</row>
    <row r="156" spans="1:21" x14ac:dyDescent="0.2">
      <c r="B156" s="171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</row>
    <row r="157" spans="1:21" x14ac:dyDescent="0.2">
      <c r="B157" s="171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</row>
    <row r="158" spans="1:21" x14ac:dyDescent="0.2">
      <c r="B158" s="171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</row>
    <row r="159" spans="1:21" x14ac:dyDescent="0.2">
      <c r="B159" s="171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</row>
    <row r="160" spans="1:21" x14ac:dyDescent="0.2">
      <c r="B160" s="171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</row>
    <row r="161" spans="2:21" x14ac:dyDescent="0.2">
      <c r="B161" s="171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</row>
    <row r="162" spans="2:21" x14ac:dyDescent="0.2">
      <c r="B162" s="171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</row>
    <row r="163" spans="2:21" x14ac:dyDescent="0.2">
      <c r="B163" s="171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</row>
    <row r="164" spans="2:21" x14ac:dyDescent="0.2">
      <c r="B164" s="171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</row>
    <row r="165" spans="2:21" x14ac:dyDescent="0.2">
      <c r="B165" s="171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</row>
    <row r="166" spans="2:21" x14ac:dyDescent="0.2">
      <c r="B166" s="171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</row>
    <row r="167" spans="2:21" x14ac:dyDescent="0.2">
      <c r="B167" s="171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</row>
    <row r="168" spans="2:21" x14ac:dyDescent="0.2">
      <c r="B168" s="171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</row>
    <row r="169" spans="2:21" x14ac:dyDescent="0.2">
      <c r="B169" s="171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</row>
    <row r="170" spans="2:21" x14ac:dyDescent="0.2">
      <c r="B170" s="171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</row>
    <row r="171" spans="2:21" x14ac:dyDescent="0.2">
      <c r="B171" s="171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</row>
    <row r="172" spans="2:21" x14ac:dyDescent="0.2">
      <c r="B172" s="171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</row>
    <row r="173" spans="2:21" x14ac:dyDescent="0.2"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</row>
    <row r="174" spans="2:21" x14ac:dyDescent="0.2">
      <c r="B174" s="171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</row>
    <row r="175" spans="2:21" x14ac:dyDescent="0.2"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</row>
    <row r="176" spans="2:21" x14ac:dyDescent="0.2">
      <c r="B176" s="171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</row>
    <row r="177" spans="2:21" x14ac:dyDescent="0.2">
      <c r="B177" s="171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</row>
    <row r="178" spans="2:21" x14ac:dyDescent="0.2">
      <c r="B178" s="171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</row>
    <row r="179" spans="2:21" x14ac:dyDescent="0.2">
      <c r="B179" s="171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</row>
    <row r="180" spans="2:21" x14ac:dyDescent="0.2">
      <c r="B180" s="171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</row>
    <row r="181" spans="2:21" x14ac:dyDescent="0.2">
      <c r="B181" s="171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</row>
    <row r="182" spans="2:21" x14ac:dyDescent="0.2">
      <c r="B182" s="171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</row>
    <row r="183" spans="2:21" x14ac:dyDescent="0.2">
      <c r="B183" s="171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</row>
    <row r="184" spans="2:21" x14ac:dyDescent="0.2">
      <c r="B184" s="171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</row>
    <row r="185" spans="2:21" x14ac:dyDescent="0.2">
      <c r="B185" s="171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</row>
    <row r="186" spans="2:21" x14ac:dyDescent="0.2">
      <c r="B186" s="171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</row>
    <row r="187" spans="2:21" x14ac:dyDescent="0.2">
      <c r="B187" s="171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</row>
    <row r="188" spans="2:21" x14ac:dyDescent="0.2">
      <c r="B188" s="171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</row>
    <row r="189" spans="2:21" x14ac:dyDescent="0.2">
      <c r="B189" s="171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</row>
    <row r="190" spans="2:21" x14ac:dyDescent="0.2">
      <c r="B190" s="171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</row>
    <row r="191" spans="2:21" x14ac:dyDescent="0.2">
      <c r="B191" s="171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</row>
    <row r="192" spans="2:21" x14ac:dyDescent="0.2">
      <c r="B192" s="171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</row>
    <row r="193" spans="2:21" x14ac:dyDescent="0.2">
      <c r="B193" s="171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</row>
    <row r="194" spans="2:21" x14ac:dyDescent="0.2">
      <c r="B194" s="171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</row>
    <row r="195" spans="2:21" x14ac:dyDescent="0.2">
      <c r="B195" s="171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</row>
    <row r="196" spans="2:21" x14ac:dyDescent="0.2">
      <c r="B196" s="171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</row>
    <row r="197" spans="2:21" x14ac:dyDescent="0.2">
      <c r="B197" s="171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</row>
    <row r="198" spans="2:21" x14ac:dyDescent="0.2">
      <c r="B198" s="171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</row>
    <row r="199" spans="2:21" x14ac:dyDescent="0.2">
      <c r="B199" s="171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</row>
    <row r="200" spans="2:21" x14ac:dyDescent="0.2">
      <c r="B200" s="171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</row>
    <row r="201" spans="2:21" x14ac:dyDescent="0.2">
      <c r="B201" s="171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</row>
    <row r="202" spans="2:21" x14ac:dyDescent="0.2">
      <c r="B202" s="171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</row>
    <row r="203" spans="2:21" x14ac:dyDescent="0.2">
      <c r="B203" s="171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</row>
    <row r="204" spans="2:21" x14ac:dyDescent="0.2">
      <c r="B204" s="171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</row>
    <row r="205" spans="2:21" x14ac:dyDescent="0.2">
      <c r="B205" s="171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</row>
    <row r="206" spans="2:21" x14ac:dyDescent="0.2">
      <c r="B206" s="171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</row>
    <row r="207" spans="2:21" x14ac:dyDescent="0.2">
      <c r="B207" s="171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</row>
    <row r="208" spans="2:21" x14ac:dyDescent="0.2">
      <c r="B208" s="171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</row>
    <row r="209" spans="2:21" x14ac:dyDescent="0.2">
      <c r="B209" s="171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</row>
    <row r="210" spans="2:21" x14ac:dyDescent="0.2">
      <c r="B210" s="171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</row>
    <row r="211" spans="2:21" x14ac:dyDescent="0.2">
      <c r="B211" s="171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</row>
    <row r="212" spans="2:21" x14ac:dyDescent="0.2">
      <c r="B212" s="171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</row>
    <row r="213" spans="2:21" x14ac:dyDescent="0.2">
      <c r="B213" s="171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</row>
    <row r="214" spans="2:21" x14ac:dyDescent="0.2">
      <c r="B214" s="171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</row>
    <row r="215" spans="2:21" x14ac:dyDescent="0.2">
      <c r="B215" s="171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</row>
    <row r="216" spans="2:21" x14ac:dyDescent="0.2">
      <c r="B216" s="171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</row>
    <row r="217" spans="2:21" x14ac:dyDescent="0.2">
      <c r="B217" s="171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</row>
    <row r="218" spans="2:21" x14ac:dyDescent="0.2">
      <c r="B218" s="171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</row>
    <row r="219" spans="2:21" x14ac:dyDescent="0.2">
      <c r="B219" s="171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</row>
    <row r="220" spans="2:21" x14ac:dyDescent="0.2">
      <c r="B220" s="171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</row>
    <row r="221" spans="2:21" x14ac:dyDescent="0.2">
      <c r="B221" s="171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</row>
    <row r="222" spans="2:21" x14ac:dyDescent="0.2">
      <c r="B222" s="171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</row>
    <row r="223" spans="2:21" x14ac:dyDescent="0.2">
      <c r="B223" s="171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</row>
    <row r="224" spans="2:21" x14ac:dyDescent="0.2">
      <c r="B224" s="171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</row>
    <row r="225" spans="2:21" x14ac:dyDescent="0.2">
      <c r="B225" s="171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</row>
    <row r="226" spans="2:21" x14ac:dyDescent="0.2">
      <c r="B226" s="171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</row>
    <row r="227" spans="2:21" x14ac:dyDescent="0.2">
      <c r="B227" s="171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</row>
    <row r="228" spans="2:21" x14ac:dyDescent="0.2">
      <c r="B228" s="171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</row>
    <row r="229" spans="2:21" x14ac:dyDescent="0.2">
      <c r="B229" s="171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</row>
    <row r="230" spans="2:21" x14ac:dyDescent="0.2">
      <c r="B230" s="171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</row>
    <row r="231" spans="2:21" x14ac:dyDescent="0.2">
      <c r="B231" s="171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</row>
    <row r="232" spans="2:21" x14ac:dyDescent="0.2">
      <c r="B232" s="171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</row>
    <row r="233" spans="2:21" x14ac:dyDescent="0.2">
      <c r="B233" s="171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</row>
    <row r="234" spans="2:21" x14ac:dyDescent="0.2">
      <c r="B234" s="171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</row>
    <row r="235" spans="2:21" x14ac:dyDescent="0.2">
      <c r="B235" s="171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</row>
    <row r="236" spans="2:21" x14ac:dyDescent="0.2">
      <c r="B236" s="171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</row>
    <row r="237" spans="2:21" x14ac:dyDescent="0.2">
      <c r="B237" s="171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</row>
    <row r="238" spans="2:21" x14ac:dyDescent="0.2">
      <c r="B238" s="171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</row>
    <row r="239" spans="2:21" x14ac:dyDescent="0.2">
      <c r="B239" s="171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</row>
    <row r="240" spans="2:21" x14ac:dyDescent="0.2">
      <c r="B240" s="171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</row>
    <row r="241" spans="2:21" x14ac:dyDescent="0.2">
      <c r="B241" s="171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</row>
    <row r="242" spans="2:21" x14ac:dyDescent="0.2">
      <c r="B242" s="171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</row>
    <row r="243" spans="2:21" x14ac:dyDescent="0.2">
      <c r="B243" s="171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</row>
    <row r="244" spans="2:21" x14ac:dyDescent="0.2">
      <c r="B244" s="171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</row>
    <row r="245" spans="2:21" x14ac:dyDescent="0.2">
      <c r="B245" s="171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</row>
    <row r="246" spans="2:21" x14ac:dyDescent="0.2">
      <c r="B246" s="171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</row>
    <row r="247" spans="2:21" x14ac:dyDescent="0.2">
      <c r="B247" s="171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</row>
    <row r="248" spans="2:21" x14ac:dyDescent="0.2">
      <c r="B248" s="171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</row>
    <row r="249" spans="2:21" x14ac:dyDescent="0.2">
      <c r="B249" s="171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</row>
    <row r="250" spans="2:21" x14ac:dyDescent="0.2">
      <c r="B250" s="171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</row>
    <row r="251" spans="2:21" x14ac:dyDescent="0.2">
      <c r="B251" s="171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</row>
    <row r="252" spans="2:21" x14ac:dyDescent="0.2">
      <c r="B252" s="171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</row>
    <row r="253" spans="2:21" x14ac:dyDescent="0.2">
      <c r="B253" s="171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</row>
    <row r="254" spans="2:21" x14ac:dyDescent="0.2">
      <c r="B254" s="171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</row>
    <row r="255" spans="2:21" x14ac:dyDescent="0.2">
      <c r="B255" s="171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</row>
    <row r="256" spans="2:21" x14ac:dyDescent="0.2">
      <c r="B256" s="171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</row>
    <row r="257" spans="2:21" x14ac:dyDescent="0.2">
      <c r="B257" s="171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</row>
    <row r="258" spans="2:21" x14ac:dyDescent="0.2">
      <c r="B258" s="171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</row>
    <row r="259" spans="2:21" x14ac:dyDescent="0.2">
      <c r="B259" s="171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</row>
    <row r="260" spans="2:21" x14ac:dyDescent="0.2">
      <c r="B260" s="171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</row>
    <row r="261" spans="2:21" x14ac:dyDescent="0.2">
      <c r="B261" s="171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</row>
    <row r="262" spans="2:21" x14ac:dyDescent="0.2">
      <c r="B262" s="171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</row>
    <row r="263" spans="2:21" x14ac:dyDescent="0.2">
      <c r="B263" s="171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</row>
    <row r="264" spans="2:21" x14ac:dyDescent="0.2">
      <c r="B264" s="171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</row>
    <row r="265" spans="2:21" x14ac:dyDescent="0.2">
      <c r="B265" s="171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</row>
    <row r="266" spans="2:21" x14ac:dyDescent="0.2">
      <c r="B266" s="171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</row>
    <row r="267" spans="2:21" x14ac:dyDescent="0.2">
      <c r="B267" s="171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</row>
    <row r="268" spans="2:21" x14ac:dyDescent="0.2">
      <c r="B268" s="171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</row>
    <row r="269" spans="2:21" x14ac:dyDescent="0.2">
      <c r="B269" s="171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</row>
    <row r="270" spans="2:21" x14ac:dyDescent="0.2">
      <c r="B270" s="171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</row>
    <row r="271" spans="2:21" x14ac:dyDescent="0.2">
      <c r="B271" s="171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</row>
    <row r="272" spans="2:21" x14ac:dyDescent="0.2">
      <c r="B272" s="171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</row>
    <row r="273" spans="2:21" x14ac:dyDescent="0.2">
      <c r="B273" s="171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</row>
    <row r="274" spans="2:21" x14ac:dyDescent="0.2">
      <c r="B274" s="171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</row>
    <row r="275" spans="2:21" x14ac:dyDescent="0.2">
      <c r="B275" s="171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</row>
    <row r="276" spans="2:21" x14ac:dyDescent="0.2">
      <c r="B276" s="171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</row>
    <row r="277" spans="2:21" x14ac:dyDescent="0.2">
      <c r="B277" s="171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</row>
    <row r="278" spans="2:21" x14ac:dyDescent="0.2">
      <c r="B278" s="171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</row>
    <row r="279" spans="2:21" x14ac:dyDescent="0.2">
      <c r="B279" s="171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</row>
    <row r="280" spans="2:21" x14ac:dyDescent="0.2">
      <c r="B280" s="171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</row>
    <row r="281" spans="2:21" x14ac:dyDescent="0.2">
      <c r="B281" s="171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</row>
    <row r="282" spans="2:21" x14ac:dyDescent="0.2">
      <c r="B282" s="171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</row>
    <row r="283" spans="2:21" x14ac:dyDescent="0.2">
      <c r="B283" s="171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</row>
    <row r="284" spans="2:21" x14ac:dyDescent="0.2">
      <c r="B284" s="171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</row>
    <row r="285" spans="2:21" x14ac:dyDescent="0.2">
      <c r="B285" s="171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</row>
    <row r="286" spans="2:21" x14ac:dyDescent="0.2">
      <c r="B286" s="171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</row>
    <row r="287" spans="2:21" x14ac:dyDescent="0.2">
      <c r="B287" s="171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</row>
    <row r="288" spans="2:21" x14ac:dyDescent="0.2">
      <c r="B288" s="171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</row>
    <row r="289" spans="2:21" x14ac:dyDescent="0.2">
      <c r="B289" s="171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</row>
    <row r="290" spans="2:21" x14ac:dyDescent="0.2">
      <c r="B290" s="171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</row>
    <row r="291" spans="2:21" x14ac:dyDescent="0.2">
      <c r="B291" s="171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</row>
    <row r="292" spans="2:21" x14ac:dyDescent="0.2">
      <c r="B292" s="171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</row>
    <row r="293" spans="2:21" x14ac:dyDescent="0.2">
      <c r="B293" s="171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</row>
    <row r="294" spans="2:21" x14ac:dyDescent="0.2">
      <c r="B294" s="171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</row>
    <row r="295" spans="2:21" x14ac:dyDescent="0.2">
      <c r="B295" s="171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</row>
    <row r="296" spans="2:21" x14ac:dyDescent="0.2">
      <c r="B296" s="171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</row>
    <row r="297" spans="2:21" x14ac:dyDescent="0.2">
      <c r="B297" s="171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</row>
    <row r="298" spans="2:21" x14ac:dyDescent="0.2">
      <c r="B298" s="171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</row>
    <row r="299" spans="2:21" x14ac:dyDescent="0.2">
      <c r="B299" s="171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</row>
    <row r="300" spans="2:21" x14ac:dyDescent="0.2">
      <c r="B300" s="171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</row>
    <row r="301" spans="2:21" x14ac:dyDescent="0.2">
      <c r="B301" s="171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</row>
    <row r="302" spans="2:21" x14ac:dyDescent="0.2">
      <c r="B302" s="171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</row>
    <row r="303" spans="2:21" x14ac:dyDescent="0.2">
      <c r="B303" s="171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</row>
    <row r="304" spans="2:21" x14ac:dyDescent="0.2">
      <c r="B304" s="171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</row>
    <row r="305" spans="2:21" x14ac:dyDescent="0.2">
      <c r="B305" s="171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</row>
    <row r="306" spans="2:21" x14ac:dyDescent="0.2">
      <c r="B306" s="171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</row>
    <row r="307" spans="2:21" x14ac:dyDescent="0.2">
      <c r="B307" s="171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</row>
    <row r="308" spans="2:21" x14ac:dyDescent="0.2">
      <c r="B308" s="171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</row>
    <row r="309" spans="2:21" x14ac:dyDescent="0.2">
      <c r="B309" s="171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</row>
    <row r="310" spans="2:21" x14ac:dyDescent="0.2">
      <c r="B310" s="171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</row>
    <row r="311" spans="2:21" x14ac:dyDescent="0.2">
      <c r="B311" s="171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</row>
    <row r="312" spans="2:21" x14ac:dyDescent="0.2">
      <c r="B312" s="171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</row>
    <row r="313" spans="2:21" x14ac:dyDescent="0.2">
      <c r="B313" s="171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</row>
    <row r="314" spans="2:21" x14ac:dyDescent="0.2">
      <c r="B314" s="171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</row>
    <row r="315" spans="2:21" x14ac:dyDescent="0.2">
      <c r="B315" s="171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</row>
    <row r="316" spans="2:21" x14ac:dyDescent="0.2">
      <c r="B316" s="171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</row>
    <row r="317" spans="2:21" x14ac:dyDescent="0.2">
      <c r="B317" s="171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</row>
    <row r="318" spans="2:21" x14ac:dyDescent="0.2">
      <c r="B318" s="171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</row>
    <row r="319" spans="2:21" x14ac:dyDescent="0.2">
      <c r="B319" s="171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</row>
    <row r="320" spans="2:21" x14ac:dyDescent="0.2">
      <c r="B320" s="171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</row>
    <row r="321" spans="2:21" x14ac:dyDescent="0.2">
      <c r="B321" s="171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</row>
    <row r="322" spans="2:21" x14ac:dyDescent="0.2">
      <c r="B322" s="171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</row>
    <row r="323" spans="2:21" x14ac:dyDescent="0.2">
      <c r="B323" s="171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</row>
    <row r="324" spans="2:21" x14ac:dyDescent="0.2">
      <c r="B324" s="171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</row>
    <row r="325" spans="2:21" x14ac:dyDescent="0.2">
      <c r="B325" s="171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</row>
    <row r="326" spans="2:21" x14ac:dyDescent="0.2">
      <c r="B326" s="171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</row>
    <row r="327" spans="2:21" x14ac:dyDescent="0.2">
      <c r="B327" s="171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</row>
    <row r="328" spans="2:21" x14ac:dyDescent="0.2">
      <c r="B328" s="171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</row>
    <row r="329" spans="2:21" x14ac:dyDescent="0.2">
      <c r="B329" s="171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</row>
    <row r="330" spans="2:21" x14ac:dyDescent="0.2">
      <c r="B330" s="171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</row>
    <row r="331" spans="2:21" x14ac:dyDescent="0.2">
      <c r="B331" s="171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</row>
    <row r="332" spans="2:21" x14ac:dyDescent="0.2">
      <c r="B332" s="171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</row>
    <row r="333" spans="2:21" x14ac:dyDescent="0.2">
      <c r="B333" s="171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</row>
    <row r="334" spans="2:21" x14ac:dyDescent="0.2">
      <c r="B334" s="171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</row>
    <row r="335" spans="2:21" x14ac:dyDescent="0.2">
      <c r="B335" s="171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</row>
    <row r="336" spans="2:21" x14ac:dyDescent="0.2">
      <c r="B336" s="171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</row>
    <row r="337" spans="2:21" x14ac:dyDescent="0.2">
      <c r="B337" s="171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</row>
    <row r="338" spans="2:21" x14ac:dyDescent="0.2">
      <c r="B338" s="171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</row>
    <row r="339" spans="2:21" x14ac:dyDescent="0.2">
      <c r="B339" s="171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</row>
    <row r="340" spans="2:21" x14ac:dyDescent="0.2">
      <c r="B340" s="171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</row>
    <row r="341" spans="2:21" x14ac:dyDescent="0.2">
      <c r="B341" s="171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</row>
    <row r="342" spans="2:21" x14ac:dyDescent="0.2">
      <c r="B342" s="171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</row>
    <row r="343" spans="2:21" x14ac:dyDescent="0.2">
      <c r="B343" s="171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</row>
    <row r="344" spans="2:21" x14ac:dyDescent="0.2">
      <c r="B344" s="171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</row>
    <row r="345" spans="2:21" x14ac:dyDescent="0.2">
      <c r="B345" s="171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</row>
    <row r="346" spans="2:21" x14ac:dyDescent="0.2">
      <c r="B346" s="171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</row>
    <row r="347" spans="2:21" x14ac:dyDescent="0.2">
      <c r="B347" s="171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</row>
    <row r="348" spans="2:21" x14ac:dyDescent="0.2">
      <c r="B348" s="171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</row>
    <row r="349" spans="2:21" x14ac:dyDescent="0.2">
      <c r="B349" s="171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</row>
    <row r="350" spans="2:21" x14ac:dyDescent="0.2">
      <c r="B350" s="171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</row>
    <row r="351" spans="2:21" x14ac:dyDescent="0.2">
      <c r="B351" s="171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</row>
    <row r="352" spans="2:21" x14ac:dyDescent="0.2">
      <c r="B352" s="171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</row>
    <row r="353" spans="2:21" x14ac:dyDescent="0.2">
      <c r="B353" s="171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</row>
    <row r="354" spans="2:21" x14ac:dyDescent="0.2">
      <c r="B354" s="171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</row>
    <row r="355" spans="2:21" x14ac:dyDescent="0.2">
      <c r="B355" s="171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</row>
    <row r="356" spans="2:21" x14ac:dyDescent="0.2">
      <c r="B356" s="171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</row>
    <row r="357" spans="2:21" x14ac:dyDescent="0.2">
      <c r="B357" s="171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</row>
    <row r="358" spans="2:21" x14ac:dyDescent="0.2">
      <c r="B358" s="171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</row>
    <row r="359" spans="2:21" x14ac:dyDescent="0.2">
      <c r="B359" s="171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</row>
    <row r="360" spans="2:21" x14ac:dyDescent="0.2">
      <c r="B360" s="171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</row>
    <row r="361" spans="2:21" x14ac:dyDescent="0.2">
      <c r="B361" s="171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</row>
    <row r="362" spans="2:21" x14ac:dyDescent="0.2">
      <c r="B362" s="171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</row>
    <row r="363" spans="2:21" x14ac:dyDescent="0.2">
      <c r="B363" s="171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</row>
    <row r="364" spans="2:21" x14ac:dyDescent="0.2">
      <c r="B364" s="171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</row>
    <row r="365" spans="2:21" x14ac:dyDescent="0.2">
      <c r="B365" s="171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</row>
    <row r="366" spans="2:21" x14ac:dyDescent="0.2">
      <c r="B366" s="171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</row>
    <row r="367" spans="2:21" x14ac:dyDescent="0.2">
      <c r="B367" s="171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</row>
    <row r="368" spans="2:21" x14ac:dyDescent="0.2">
      <c r="B368" s="171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</row>
    <row r="369" spans="2:21" x14ac:dyDescent="0.2">
      <c r="B369" s="171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</row>
    <row r="370" spans="2:21" x14ac:dyDescent="0.2">
      <c r="B370" s="171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</row>
    <row r="371" spans="2:21" x14ac:dyDescent="0.2">
      <c r="B371" s="171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</row>
    <row r="372" spans="2:21" x14ac:dyDescent="0.2">
      <c r="B372" s="171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</row>
    <row r="373" spans="2:21" x14ac:dyDescent="0.2">
      <c r="B373" s="171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</row>
    <row r="374" spans="2:21" x14ac:dyDescent="0.2">
      <c r="B374" s="171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</row>
    <row r="375" spans="2:21" x14ac:dyDescent="0.2">
      <c r="B375" s="171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</row>
    <row r="376" spans="2:21" x14ac:dyDescent="0.2">
      <c r="B376" s="171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</row>
    <row r="377" spans="2:21" x14ac:dyDescent="0.2">
      <c r="B377" s="171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</row>
    <row r="378" spans="2:21" x14ac:dyDescent="0.2">
      <c r="B378" s="171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</row>
    <row r="379" spans="2:21" x14ac:dyDescent="0.2">
      <c r="B379" s="171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</row>
    <row r="380" spans="2:21" x14ac:dyDescent="0.2">
      <c r="B380" s="171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</row>
    <row r="381" spans="2:21" x14ac:dyDescent="0.2">
      <c r="B381" s="171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</row>
    <row r="382" spans="2:21" x14ac:dyDescent="0.2">
      <c r="B382" s="171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</row>
    <row r="383" spans="2:21" x14ac:dyDescent="0.2">
      <c r="B383" s="171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</row>
    <row r="384" spans="2:21" x14ac:dyDescent="0.2">
      <c r="B384" s="171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</row>
    <row r="385" spans="2:21" x14ac:dyDescent="0.2">
      <c r="B385" s="171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</row>
    <row r="386" spans="2:21" x14ac:dyDescent="0.2">
      <c r="B386" s="171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</row>
    <row r="387" spans="2:21" x14ac:dyDescent="0.2">
      <c r="B387" s="171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</row>
    <row r="388" spans="2:21" x14ac:dyDescent="0.2">
      <c r="B388" s="171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</row>
    <row r="389" spans="2:21" x14ac:dyDescent="0.2">
      <c r="B389" s="171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</row>
    <row r="390" spans="2:21" x14ac:dyDescent="0.2">
      <c r="B390" s="171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</row>
    <row r="391" spans="2:21" x14ac:dyDescent="0.2">
      <c r="B391" s="171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</row>
    <row r="392" spans="2:21" x14ac:dyDescent="0.2">
      <c r="B392" s="171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</row>
    <row r="393" spans="2:21" x14ac:dyDescent="0.2">
      <c r="B393" s="171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</row>
    <row r="394" spans="2:21" x14ac:dyDescent="0.2">
      <c r="B394" s="171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</row>
    <row r="395" spans="2:21" x14ac:dyDescent="0.2">
      <c r="B395" s="171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</row>
    <row r="396" spans="2:21" x14ac:dyDescent="0.2">
      <c r="B396" s="171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</row>
    <row r="397" spans="2:21" x14ac:dyDescent="0.2">
      <c r="B397" s="171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</row>
    <row r="398" spans="2:21" x14ac:dyDescent="0.2">
      <c r="B398" s="171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</row>
    <row r="399" spans="2:21" x14ac:dyDescent="0.2">
      <c r="B399" s="171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</row>
    <row r="400" spans="2:21" x14ac:dyDescent="0.2">
      <c r="B400" s="171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</row>
    <row r="401" spans="2:21" x14ac:dyDescent="0.2">
      <c r="B401" s="171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</row>
    <row r="402" spans="2:21" x14ac:dyDescent="0.2">
      <c r="B402" s="171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</row>
    <row r="403" spans="2:21" x14ac:dyDescent="0.2">
      <c r="B403" s="171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</row>
    <row r="404" spans="2:21" x14ac:dyDescent="0.2">
      <c r="B404" s="171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</row>
    <row r="405" spans="2:21" x14ac:dyDescent="0.2">
      <c r="B405" s="171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</row>
    <row r="406" spans="2:21" x14ac:dyDescent="0.2">
      <c r="B406" s="171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</row>
    <row r="407" spans="2:21" x14ac:dyDescent="0.2">
      <c r="B407" s="171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</row>
    <row r="408" spans="2:21" x14ac:dyDescent="0.2">
      <c r="B408" s="171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</row>
    <row r="409" spans="2:21" x14ac:dyDescent="0.2">
      <c r="B409" s="171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</row>
    <row r="410" spans="2:21" x14ac:dyDescent="0.2">
      <c r="B410" s="171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</row>
    <row r="411" spans="2:21" x14ac:dyDescent="0.2">
      <c r="B411" s="171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</row>
    <row r="412" spans="2:21" x14ac:dyDescent="0.2">
      <c r="B412" s="171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</row>
    <row r="413" spans="2:21" x14ac:dyDescent="0.2">
      <c r="B413" s="171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</row>
    <row r="414" spans="2:21" x14ac:dyDescent="0.2">
      <c r="B414" s="171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</row>
    <row r="415" spans="2:21" x14ac:dyDescent="0.2">
      <c r="B415" s="171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</row>
    <row r="416" spans="2:21" x14ac:dyDescent="0.2">
      <c r="B416" s="171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</row>
    <row r="417" spans="2:21" x14ac:dyDescent="0.2">
      <c r="B417" s="171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</row>
    <row r="418" spans="2:21" x14ac:dyDescent="0.2">
      <c r="B418" s="171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</row>
    <row r="419" spans="2:21" x14ac:dyDescent="0.2">
      <c r="B419" s="171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</row>
    <row r="420" spans="2:21" x14ac:dyDescent="0.2">
      <c r="B420" s="171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</row>
    <row r="421" spans="2:21" x14ac:dyDescent="0.2">
      <c r="B421" s="171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</row>
    <row r="422" spans="2:21" x14ac:dyDescent="0.2">
      <c r="B422" s="171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</row>
    <row r="423" spans="2:21" x14ac:dyDescent="0.2">
      <c r="B423" s="171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</row>
    <row r="424" spans="2:21" x14ac:dyDescent="0.2">
      <c r="B424" s="171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</row>
    <row r="425" spans="2:21" x14ac:dyDescent="0.2">
      <c r="B425" s="171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</row>
    <row r="426" spans="2:21" x14ac:dyDescent="0.2">
      <c r="B426" s="171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</row>
    <row r="427" spans="2:21" x14ac:dyDescent="0.2">
      <c r="B427" s="171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</row>
    <row r="428" spans="2:21" x14ac:dyDescent="0.2">
      <c r="B428" s="171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</row>
    <row r="429" spans="2:21" x14ac:dyDescent="0.2">
      <c r="B429" s="171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</row>
    <row r="430" spans="2:21" x14ac:dyDescent="0.2">
      <c r="B430" s="171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</row>
    <row r="431" spans="2:21" x14ac:dyDescent="0.2">
      <c r="B431" s="171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</row>
    <row r="432" spans="2:21" x14ac:dyDescent="0.2">
      <c r="B432" s="171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</row>
    <row r="433" spans="2:21" x14ac:dyDescent="0.2">
      <c r="B433" s="171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</row>
    <row r="434" spans="2:21" x14ac:dyDescent="0.2">
      <c r="B434" s="171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</row>
    <row r="435" spans="2:21" x14ac:dyDescent="0.2">
      <c r="B435" s="171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</row>
    <row r="436" spans="2:21" x14ac:dyDescent="0.2">
      <c r="B436" s="171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</row>
    <row r="437" spans="2:21" x14ac:dyDescent="0.2">
      <c r="B437" s="171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</row>
    <row r="438" spans="2:21" x14ac:dyDescent="0.2">
      <c r="B438" s="171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</row>
    <row r="439" spans="2:21" x14ac:dyDescent="0.2">
      <c r="B439" s="171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</row>
    <row r="440" spans="2:21" x14ac:dyDescent="0.2">
      <c r="B440" s="171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</row>
    <row r="441" spans="2:21" x14ac:dyDescent="0.2">
      <c r="B441" s="171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</row>
    <row r="442" spans="2:21" x14ac:dyDescent="0.2">
      <c r="B442" s="171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</row>
    <row r="443" spans="2:21" x14ac:dyDescent="0.2">
      <c r="B443" s="171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</row>
    <row r="444" spans="2:21" x14ac:dyDescent="0.2">
      <c r="B444" s="171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</row>
    <row r="445" spans="2:21" x14ac:dyDescent="0.2">
      <c r="B445" s="171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</row>
    <row r="446" spans="2:21" x14ac:dyDescent="0.2">
      <c r="B446" s="171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</row>
    <row r="447" spans="2:21" x14ac:dyDescent="0.2">
      <c r="B447" s="171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</row>
    <row r="448" spans="2:21" x14ac:dyDescent="0.2">
      <c r="B448" s="171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</row>
    <row r="449" spans="2:21" x14ac:dyDescent="0.2">
      <c r="B449" s="171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</row>
    <row r="450" spans="2:21" x14ac:dyDescent="0.2">
      <c r="B450" s="171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</row>
    <row r="451" spans="2:21" x14ac:dyDescent="0.2">
      <c r="B451" s="171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</row>
    <row r="452" spans="2:21" x14ac:dyDescent="0.2">
      <c r="B452" s="171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</row>
    <row r="453" spans="2:21" x14ac:dyDescent="0.2">
      <c r="B453" s="171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</row>
    <row r="454" spans="2:21" x14ac:dyDescent="0.2">
      <c r="B454" s="171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</row>
    <row r="455" spans="2:21" x14ac:dyDescent="0.2">
      <c r="B455" s="171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</row>
    <row r="456" spans="2:21" x14ac:dyDescent="0.2">
      <c r="B456" s="171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</row>
    <row r="457" spans="2:21" x14ac:dyDescent="0.2">
      <c r="B457" s="171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</row>
    <row r="458" spans="2:21" x14ac:dyDescent="0.2">
      <c r="B458" s="171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</row>
    <row r="459" spans="2:21" x14ac:dyDescent="0.2">
      <c r="B459" s="171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</row>
    <row r="460" spans="2:21" x14ac:dyDescent="0.2">
      <c r="B460" s="171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</row>
    <row r="461" spans="2:21" x14ac:dyDescent="0.2">
      <c r="B461" s="171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</row>
    <row r="462" spans="2:21" x14ac:dyDescent="0.2">
      <c r="B462" s="171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</row>
    <row r="463" spans="2:21" x14ac:dyDescent="0.2">
      <c r="B463" s="171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</row>
    <row r="464" spans="2:21" x14ac:dyDescent="0.2">
      <c r="B464" s="171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</row>
    <row r="465" spans="2:21" x14ac:dyDescent="0.2">
      <c r="B465" s="171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</row>
    <row r="466" spans="2:21" x14ac:dyDescent="0.2">
      <c r="B466" s="171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</row>
    <row r="467" spans="2:21" x14ac:dyDescent="0.2">
      <c r="B467" s="171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</row>
    <row r="468" spans="2:21" x14ac:dyDescent="0.2">
      <c r="B468" s="171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</row>
    <row r="469" spans="2:21" x14ac:dyDescent="0.2">
      <c r="B469" s="171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</row>
    <row r="470" spans="2:21" x14ac:dyDescent="0.2">
      <c r="B470" s="171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</row>
    <row r="471" spans="2:21" x14ac:dyDescent="0.2">
      <c r="B471" s="171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</row>
    <row r="472" spans="2:21" x14ac:dyDescent="0.2">
      <c r="B472" s="171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</row>
    <row r="473" spans="2:21" x14ac:dyDescent="0.2">
      <c r="B473" s="171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</row>
    <row r="474" spans="2:21" x14ac:dyDescent="0.2">
      <c r="B474" s="171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</row>
    <row r="475" spans="2:21" x14ac:dyDescent="0.2">
      <c r="B475" s="171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</row>
    <row r="476" spans="2:21" x14ac:dyDescent="0.2">
      <c r="B476" s="171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</row>
    <row r="477" spans="2:21" x14ac:dyDescent="0.2">
      <c r="B477" s="171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</row>
    <row r="478" spans="2:21" x14ac:dyDescent="0.2">
      <c r="B478" s="171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</row>
    <row r="479" spans="2:21" x14ac:dyDescent="0.2">
      <c r="B479" s="171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</row>
    <row r="480" spans="2:21" x14ac:dyDescent="0.2">
      <c r="B480" s="171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</row>
    <row r="481" spans="2:21" x14ac:dyDescent="0.2">
      <c r="B481" s="171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</row>
    <row r="482" spans="2:21" x14ac:dyDescent="0.2">
      <c r="B482" s="171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</row>
  </sheetData>
  <phoneticPr fontId="0" type="noConversion"/>
  <dataValidations count="1">
    <dataValidation type="whole" errorStyle="warning" operator="notEqual" allowBlank="1" showInputMessage="1" showErrorMessage="1" errorTitle="check number of males selected" sqref="M15">
      <formula1>D23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Instructions</vt:lpstr>
      <vt:lpstr>ControlCenter</vt:lpstr>
      <vt:lpstr>Genetic Parameters</vt:lpstr>
      <vt:lpstr>Selection Index Sheet</vt:lpstr>
      <vt:lpstr>Economic values - Indexes</vt:lpstr>
      <vt:lpstr>Age optimization</vt:lpstr>
      <vt:lpstr>mxt</vt:lpstr>
      <vt:lpstr>'Selection Index Sheet'!nt</vt:lpstr>
      <vt:lpstr>ntx</vt:lpstr>
    </vt:vector>
  </TitlesOfParts>
  <Company>animal science 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jvanderwerf</dc:creator>
  <cp:lastModifiedBy>vanderwerf</cp:lastModifiedBy>
  <cp:lastPrinted>2007-10-17T05:11:54Z</cp:lastPrinted>
  <dcterms:created xsi:type="dcterms:W3CDTF">1999-08-04T13:10:37Z</dcterms:created>
  <dcterms:modified xsi:type="dcterms:W3CDTF">2015-05-13T09:09:03Z</dcterms:modified>
</cp:coreProperties>
</file>