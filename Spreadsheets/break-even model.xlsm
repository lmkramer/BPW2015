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8232" windowWidth="11520" windowHeight="3576" activeTab="2"/>
  </bookViews>
  <sheets>
    <sheet name="simple model" sheetId="5" r:id="rId1"/>
    <sheet name="Sheet1" sheetId="6" r:id="rId2"/>
    <sheet name="cows" sheetId="7" r:id="rId3"/>
    <sheet name="Sheet3" sheetId="8" r:id="rId4"/>
  </sheets>
  <calcPr calcId="145621" calcOnSave="0" concurrentCalc="0"/>
</workbook>
</file>

<file path=xl/calcChain.xml><?xml version="1.0" encoding="utf-8"?>
<calcChain xmlns="http://schemas.openxmlformats.org/spreadsheetml/2006/main">
  <c r="H26" i="7" l="1"/>
  <c r="H28" i="7"/>
  <c r="H30" i="7"/>
  <c r="H19" i="7"/>
  <c r="E36" i="7"/>
  <c r="E39" i="7"/>
  <c r="E38" i="7"/>
  <c r="H9" i="8"/>
  <c r="G8" i="8"/>
  <c r="G14" i="8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E46" i="7"/>
  <c r="E49" i="7"/>
  <c r="E52" i="7"/>
  <c r="E55" i="7"/>
  <c r="G45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G44" i="7"/>
  <c r="E42" i="7"/>
  <c r="F57" i="7"/>
  <c r="E41" i="7"/>
  <c r="F62" i="7"/>
  <c r="F35" i="7"/>
  <c r="F34" i="7"/>
  <c r="E34" i="7"/>
  <c r="F33" i="7"/>
  <c r="E33" i="7"/>
  <c r="F26" i="7"/>
  <c r="F6" i="7"/>
  <c r="E5" i="7"/>
  <c r="E11" i="7"/>
  <c r="G15" i="8"/>
  <c r="G16" i="8"/>
  <c r="G17" i="8"/>
  <c r="H18" i="8"/>
  <c r="E13" i="7"/>
  <c r="E16" i="7"/>
  <c r="F18" i="7"/>
  <c r="E12" i="7"/>
  <c r="E15" i="7"/>
  <c r="E58" i="7"/>
  <c r="E61" i="7"/>
  <c r="H55" i="7"/>
  <c r="E35" i="7"/>
  <c r="G35" i="7"/>
  <c r="F39" i="7"/>
  <c r="F51" i="7"/>
  <c r="F59" i="7"/>
  <c r="E45" i="7"/>
  <c r="E48" i="7"/>
  <c r="H46" i="7"/>
  <c r="F48" i="7"/>
  <c r="F56" i="7"/>
  <c r="F49" i="7"/>
  <c r="H49" i="7"/>
  <c r="F45" i="7"/>
  <c r="F53" i="7"/>
  <c r="F61" i="7"/>
  <c r="H61" i="7"/>
  <c r="E44" i="7"/>
  <c r="E47" i="7"/>
  <c r="F47" i="7"/>
  <c r="F55" i="7"/>
  <c r="F63" i="7"/>
  <c r="F50" i="7"/>
  <c r="F58" i="7"/>
  <c r="H58" i="7"/>
  <c r="F44" i="7"/>
  <c r="F52" i="7"/>
  <c r="H52" i="7"/>
  <c r="F60" i="7"/>
  <c r="F46" i="7"/>
  <c r="F54" i="7"/>
  <c r="G44" i="5"/>
  <c r="F44" i="5"/>
  <c r="D45" i="5"/>
  <c r="E41" i="5"/>
  <c r="E42" i="5"/>
  <c r="E44" i="5"/>
  <c r="H44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G45" i="5"/>
  <c r="E46" i="5"/>
  <c r="E49" i="5"/>
  <c r="F46" i="5"/>
  <c r="G46" i="5"/>
  <c r="F47" i="5"/>
  <c r="G47" i="5"/>
  <c r="G48" i="5"/>
  <c r="G49" i="5"/>
  <c r="F50" i="5"/>
  <c r="G50" i="5"/>
  <c r="F51" i="5"/>
  <c r="G51" i="5"/>
  <c r="G52" i="5"/>
  <c r="G53" i="5"/>
  <c r="F54" i="5"/>
  <c r="G54" i="5"/>
  <c r="F55" i="5"/>
  <c r="G55" i="5"/>
  <c r="G56" i="5"/>
  <c r="G57" i="5"/>
  <c r="F58" i="5"/>
  <c r="G58" i="5"/>
  <c r="F59" i="5"/>
  <c r="G59" i="5"/>
  <c r="G60" i="5"/>
  <c r="G61" i="5"/>
  <c r="F62" i="5"/>
  <c r="G62" i="5"/>
  <c r="F63" i="5"/>
  <c r="G63" i="5"/>
  <c r="E50" i="7"/>
  <c r="H47" i="7"/>
  <c r="E51" i="7"/>
  <c r="H48" i="7"/>
  <c r="E17" i="7"/>
  <c r="H44" i="7"/>
  <c r="H45" i="7"/>
  <c r="H46" i="5"/>
  <c r="F45" i="5"/>
  <c r="E52" i="5"/>
  <c r="E47" i="5"/>
  <c r="F61" i="5"/>
  <c r="F60" i="5"/>
  <c r="F56" i="5"/>
  <c r="F52" i="5"/>
  <c r="F48" i="5"/>
  <c r="E45" i="5"/>
  <c r="F57" i="5"/>
  <c r="F53" i="5"/>
  <c r="F49" i="5"/>
  <c r="H49" i="5"/>
  <c r="E53" i="7"/>
  <c r="H50" i="7"/>
  <c r="E54" i="7"/>
  <c r="H51" i="7"/>
  <c r="H47" i="5"/>
  <c r="E50" i="5"/>
  <c r="H52" i="5"/>
  <c r="E55" i="5"/>
  <c r="H45" i="5"/>
  <c r="E48" i="5"/>
  <c r="E56" i="7"/>
  <c r="H53" i="7"/>
  <c r="E57" i="7"/>
  <c r="H54" i="7"/>
  <c r="E51" i="5"/>
  <c r="H48" i="5"/>
  <c r="E53" i="5"/>
  <c r="H50" i="5"/>
  <c r="H55" i="5"/>
  <c r="E58" i="5"/>
  <c r="E59" i="7"/>
  <c r="H56" i="7"/>
  <c r="E60" i="7"/>
  <c r="H57" i="7"/>
  <c r="E61" i="5"/>
  <c r="H61" i="5"/>
  <c r="H58" i="5"/>
  <c r="E56" i="5"/>
  <c r="H53" i="5"/>
  <c r="H51" i="5"/>
  <c r="E54" i="5"/>
  <c r="E62" i="7"/>
  <c r="H62" i="7"/>
  <c r="H59" i="7"/>
  <c r="H65" i="7"/>
  <c r="C30" i="7"/>
  <c r="E30" i="7"/>
  <c r="E63" i="7"/>
  <c r="H63" i="7"/>
  <c r="H60" i="7"/>
  <c r="E59" i="5"/>
  <c r="H56" i="5"/>
  <c r="E57" i="5"/>
  <c r="H54" i="5"/>
  <c r="F38" i="7"/>
  <c r="E60" i="5"/>
  <c r="H57" i="5"/>
  <c r="H59" i="5"/>
  <c r="E62" i="5"/>
  <c r="H62" i="5"/>
  <c r="G38" i="7"/>
  <c r="E63" i="5"/>
  <c r="H63" i="5"/>
  <c r="H65" i="5"/>
  <c r="H60" i="5"/>
  <c r="G39" i="7"/>
  <c r="F34" i="5"/>
  <c r="E34" i="5"/>
  <c r="F33" i="5"/>
  <c r="E33" i="5"/>
  <c r="E39" i="5"/>
  <c r="F26" i="5"/>
  <c r="F6" i="5"/>
  <c r="E5" i="5"/>
  <c r="E11" i="5"/>
  <c r="E13" i="5"/>
  <c r="F39" i="5"/>
  <c r="F35" i="5"/>
  <c r="E35" i="5"/>
  <c r="E15" i="5"/>
  <c r="H15" i="5"/>
  <c r="E12" i="5"/>
  <c r="E16" i="5"/>
  <c r="F18" i="5"/>
  <c r="G35" i="5"/>
  <c r="E17" i="5"/>
  <c r="C30" i="5"/>
  <c r="E30" i="5"/>
  <c r="E36" i="5"/>
  <c r="F38" i="5"/>
  <c r="E38" i="5"/>
  <c r="G38" i="5"/>
  <c r="G39" i="5"/>
  <c r="H16" i="5"/>
</calcChain>
</file>

<file path=xl/sharedStrings.xml><?xml version="1.0" encoding="utf-8"?>
<sst xmlns="http://schemas.openxmlformats.org/spreadsheetml/2006/main" count="121" uniqueCount="58">
  <si>
    <t>Nr Sheep  Commercial Flock</t>
  </si>
  <si>
    <t>Nr new rams needed for comm flock/yr</t>
  </si>
  <si>
    <t>Nr lifetime Progeny per commercial sire</t>
  </si>
  <si>
    <t xml:space="preserve"> Comm Dams/sire</t>
  </si>
  <si>
    <t>Comm Sire replacem. rate</t>
  </si>
  <si>
    <t>Comm Weaning  rate</t>
  </si>
  <si>
    <t>GS</t>
  </si>
  <si>
    <t>Commerical Flock</t>
  </si>
  <si>
    <t>Male Selection intensity</t>
  </si>
  <si>
    <t>Female Selection intensity</t>
  </si>
  <si>
    <t>Proportion of males DNA tested</t>
  </si>
  <si>
    <t>Nr of commercial rams sold per Stud male</t>
  </si>
  <si>
    <t>Stud Flock</t>
  </si>
  <si>
    <t>Prop. Stud.Males sold as breeding ram</t>
  </si>
  <si>
    <t>Nr stud breeding ewes</t>
  </si>
  <si>
    <t>Stud dams/sire</t>
  </si>
  <si>
    <t>Stud  weaning rate</t>
  </si>
  <si>
    <t>Nr. Of stud sires</t>
  </si>
  <si>
    <t xml:space="preserve">Nr. Stud born Male DNA tested/yr </t>
  </si>
  <si>
    <t>Nr of DNA tested young male per stud ram</t>
  </si>
  <si>
    <t>Nr of flock rams sold per year</t>
  </si>
  <si>
    <r>
      <t xml:space="preserve">Male Selection accuracy </t>
    </r>
    <r>
      <rPr>
        <i/>
        <sz val="11"/>
        <color theme="1"/>
        <rFont val="Calibri"/>
        <family val="2"/>
        <scheme val="minor"/>
      </rPr>
      <t>without</t>
    </r>
    <r>
      <rPr>
        <sz val="11"/>
        <color theme="1"/>
        <rFont val="Calibri"/>
        <family val="2"/>
        <scheme val="minor"/>
      </rPr>
      <t xml:space="preserve"> genomics</t>
    </r>
  </si>
  <si>
    <r>
      <t xml:space="preserve">Male Selection accuracy </t>
    </r>
    <r>
      <rPr>
        <i/>
        <sz val="11"/>
        <color theme="1"/>
        <rFont val="Calibri"/>
        <family val="2"/>
        <scheme val="minor"/>
      </rPr>
      <t>with</t>
    </r>
    <r>
      <rPr>
        <sz val="11"/>
        <color theme="1"/>
        <rFont val="Calibri"/>
        <family val="2"/>
        <scheme val="minor"/>
      </rPr>
      <t xml:space="preserve"> genomics</t>
    </r>
  </si>
  <si>
    <t>increase</t>
  </si>
  <si>
    <t>Female Selection accuracy</t>
  </si>
  <si>
    <t>Nr of commercial progeny receiving genes from a stud male</t>
  </si>
  <si>
    <t>CDE flock sires</t>
  </si>
  <si>
    <t>CDE stud sires</t>
  </si>
  <si>
    <t>Generation Interval Stud males</t>
  </si>
  <si>
    <t>Gneration Interval stud females</t>
  </si>
  <si>
    <t>gen int stud</t>
  </si>
  <si>
    <t>gen int comm</t>
  </si>
  <si>
    <t>approximaley</t>
  </si>
  <si>
    <t>Breeding performance</t>
  </si>
  <si>
    <t>Sire superiority</t>
  </si>
  <si>
    <t>SD of breeding Objective</t>
  </si>
  <si>
    <t>Rate of gain/year</t>
  </si>
  <si>
    <t>no GS</t>
  </si>
  <si>
    <t>Break Even Cost of DNA test</t>
  </si>
  <si>
    <t>stuff in blue can be varied</t>
  </si>
  <si>
    <t>stuff in light blue is most relevant to vary</t>
  </si>
  <si>
    <t>Value of stud ram</t>
  </si>
  <si>
    <t>Dam Superiority</t>
  </si>
  <si>
    <t>Value of flock ram</t>
  </si>
  <si>
    <t>$$ invested ($50)</t>
  </si>
  <si>
    <t>value added</t>
  </si>
  <si>
    <t>value diff</t>
  </si>
  <si>
    <t>prop genotyped</t>
  </si>
  <si>
    <t>break even</t>
  </si>
  <si>
    <t>Nr Cows Commercial Herd</t>
  </si>
  <si>
    <t>Nr new rams needed for comm herd/yr</t>
  </si>
  <si>
    <t>Prop. Stud.Males sold as breeding bull</t>
  </si>
  <si>
    <t>Nr stud breeding cows</t>
  </si>
  <si>
    <t>Nr of comm bulls sold per year</t>
  </si>
  <si>
    <t>Nr of commercial bulls sold per Stud male</t>
  </si>
  <si>
    <t>Nr of DNA tested young male per stud bull</t>
  </si>
  <si>
    <t>Value of stud bull</t>
  </si>
  <si>
    <t>Value of comm bull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</si>
</sst>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0.0"/>
    <numFmt numFmtId="166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E2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2" xfId="0" applyBorder="1"/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3" borderId="1" xfId="0" applyNumberFormat="1" applyFill="1" applyBorder="1" applyAlignment="1">
      <alignment horizontal="center"/>
    </xf>
    <xf numFmtId="9" fontId="0" fillId="0" borderId="0" xfId="1" applyFon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1" fillId="0" borderId="0" xfId="0" applyFont="1" applyBorder="1"/>
    <xf numFmtId="0" fontId="0" fillId="3" borderId="0" xfId="0" applyFill="1"/>
    <xf numFmtId="0" fontId="0" fillId="3" borderId="1" xfId="0" applyFill="1" applyBorder="1"/>
    <xf numFmtId="0" fontId="0" fillId="4" borderId="2" xfId="0" applyFill="1" applyBorder="1"/>
    <xf numFmtId="0" fontId="0" fillId="4" borderId="2" xfId="0" applyFill="1" applyBorder="1" applyAlignment="1">
      <alignment horizontal="right"/>
    </xf>
    <xf numFmtId="0" fontId="0" fillId="4" borderId="2" xfId="0" applyFill="1" applyBorder="1" applyAlignment="1">
      <alignment horizontal="center"/>
    </xf>
    <xf numFmtId="9" fontId="0" fillId="0" borderId="0" xfId="1" applyFont="1" applyAlignment="1">
      <alignment horizontal="center"/>
    </xf>
    <xf numFmtId="0" fontId="4" fillId="0" borderId="0" xfId="0" applyFont="1" applyAlignment="1">
      <alignment horizontal="right"/>
    </xf>
    <xf numFmtId="0" fontId="0" fillId="4" borderId="0" xfId="0" applyFill="1"/>
    <xf numFmtId="0" fontId="4" fillId="0" borderId="0" xfId="0" applyFont="1" applyAlignment="1">
      <alignment horizontal="center"/>
    </xf>
    <xf numFmtId="165" fontId="0" fillId="3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9" fontId="0" fillId="6" borderId="0" xfId="1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/>
    <xf numFmtId="0" fontId="0" fillId="6" borderId="0" xfId="0" applyFill="1"/>
    <xf numFmtId="1" fontId="0" fillId="0" borderId="0" xfId="0" applyNumberFormat="1"/>
    <xf numFmtId="0" fontId="0" fillId="0" borderId="0" xfId="0" applyAlignment="1"/>
    <xf numFmtId="1" fontId="0" fillId="7" borderId="3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right"/>
    </xf>
    <xf numFmtId="166" fontId="0" fillId="0" borderId="0" xfId="2" applyNumberFormat="1" applyFont="1"/>
    <xf numFmtId="0" fontId="5" fillId="0" borderId="0" xfId="0" applyFont="1"/>
    <xf numFmtId="1" fontId="5" fillId="0" borderId="0" xfId="0" applyNumberFormat="1" applyFont="1"/>
    <xf numFmtId="0" fontId="5" fillId="0" borderId="0" xfId="0" applyFont="1" applyAlignment="1">
      <alignment horizontal="right"/>
    </xf>
    <xf numFmtId="0" fontId="5" fillId="0" borderId="1" xfId="0" applyFont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8FE2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model'!$K$20</c:f>
              <c:strCache>
                <c:ptCount val="1"/>
                <c:pt idx="0">
                  <c:v>break even</c:v>
                </c:pt>
              </c:strCache>
            </c:strRef>
          </c:tx>
          <c:marker>
            <c:symbol val="none"/>
          </c:marker>
          <c:xVal>
            <c:numRef>
              <c:f>'simple model'!$J$21:$J$40</c:f>
              <c:numCache>
                <c:formatCode>General</c:formatCode>
                <c:ptCount val="20"/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  <c:pt idx="19">
                  <c:v>1</c:v>
                </c:pt>
              </c:numCache>
            </c:numRef>
          </c:xVal>
          <c:yVal>
            <c:numRef>
              <c:f>'simple model'!$K$21:$K$40</c:f>
              <c:numCache>
                <c:formatCode>0</c:formatCode>
                <c:ptCount val="20"/>
                <c:pt idx="2">
                  <c:v>272.49272142201937</c:v>
                </c:pt>
                <c:pt idx="3">
                  <c:v>204.36954106651456</c:v>
                </c:pt>
                <c:pt idx="4">
                  <c:v>163.49563285321165</c:v>
                </c:pt>
                <c:pt idx="5">
                  <c:v>136.24636071100969</c:v>
                </c:pt>
                <c:pt idx="6">
                  <c:v>116.78259489515118</c:v>
                </c:pt>
                <c:pt idx="7">
                  <c:v>102.18477053325728</c:v>
                </c:pt>
                <c:pt idx="8">
                  <c:v>90.830907140673133</c:v>
                </c:pt>
                <c:pt idx="9">
                  <c:v>81.747816426605823</c:v>
                </c:pt>
                <c:pt idx="10">
                  <c:v>74.316196751459842</c:v>
                </c:pt>
                <c:pt idx="11">
                  <c:v>68.123180355504843</c:v>
                </c:pt>
                <c:pt idx="12">
                  <c:v>62.882935712773715</c:v>
                </c:pt>
                <c:pt idx="13">
                  <c:v>58.391297447575589</c:v>
                </c:pt>
                <c:pt idx="14">
                  <c:v>54.498544284403891</c:v>
                </c:pt>
                <c:pt idx="15">
                  <c:v>51.092385266628639</c:v>
                </c:pt>
                <c:pt idx="16">
                  <c:v>48.086950839179899</c:v>
                </c:pt>
                <c:pt idx="17">
                  <c:v>45.415453570336567</c:v>
                </c:pt>
                <c:pt idx="18">
                  <c:v>43.025166540318857</c:v>
                </c:pt>
                <c:pt idx="19">
                  <c:v>40.873908213302911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90432"/>
        <c:axId val="117492352"/>
      </c:scatterChart>
      <c:valAx>
        <c:axId val="117490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genotyped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492352"/>
        <c:crosses val="autoZero"/>
        <c:crossBetween val="midCat"/>
      </c:valAx>
      <c:valAx>
        <c:axId val="117492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break even cost per DNA test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1749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cows!$K$20</c:f>
              <c:strCache>
                <c:ptCount val="1"/>
                <c:pt idx="0">
                  <c:v>break even</c:v>
                </c:pt>
              </c:strCache>
            </c:strRef>
          </c:tx>
          <c:marker>
            <c:symbol val="none"/>
          </c:marker>
          <c:xVal>
            <c:numRef>
              <c:f>cows!$J$21:$J$40</c:f>
              <c:numCache>
                <c:formatCode>General</c:formatCode>
                <c:ptCount val="20"/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  <c:pt idx="19">
                  <c:v>1</c:v>
                </c:pt>
              </c:numCache>
            </c:numRef>
          </c:xVal>
          <c:yVal>
            <c:numRef>
              <c:f>cows!$K$21:$K$40</c:f>
              <c:numCache>
                <c:formatCode>0</c:formatCode>
                <c:ptCount val="20"/>
                <c:pt idx="2">
                  <c:v>272.49272142201937</c:v>
                </c:pt>
                <c:pt idx="3">
                  <c:v>204.36954106651456</c:v>
                </c:pt>
                <c:pt idx="4">
                  <c:v>163.49563285321165</c:v>
                </c:pt>
                <c:pt idx="5">
                  <c:v>136.24636071100969</c:v>
                </c:pt>
                <c:pt idx="6">
                  <c:v>116.78259489515118</c:v>
                </c:pt>
                <c:pt idx="7">
                  <c:v>102.18477053325728</c:v>
                </c:pt>
                <c:pt idx="8">
                  <c:v>90.830907140673133</c:v>
                </c:pt>
                <c:pt idx="9">
                  <c:v>81.747816426605823</c:v>
                </c:pt>
                <c:pt idx="10">
                  <c:v>74.316196751459842</c:v>
                </c:pt>
                <c:pt idx="11">
                  <c:v>68.123180355504843</c:v>
                </c:pt>
                <c:pt idx="12">
                  <c:v>62.882935712773715</c:v>
                </c:pt>
                <c:pt idx="13">
                  <c:v>58.391297447575589</c:v>
                </c:pt>
                <c:pt idx="14">
                  <c:v>54.498544284403891</c:v>
                </c:pt>
                <c:pt idx="15">
                  <c:v>51.092385266628639</c:v>
                </c:pt>
                <c:pt idx="16">
                  <c:v>48.086950839179899</c:v>
                </c:pt>
                <c:pt idx="17">
                  <c:v>45.415453570336567</c:v>
                </c:pt>
                <c:pt idx="18">
                  <c:v>43.025166540318857</c:v>
                </c:pt>
                <c:pt idx="19">
                  <c:v>40.873908213302911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77952"/>
        <c:axId val="151279872"/>
      </c:scatterChart>
      <c:valAx>
        <c:axId val="1512779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genotyped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279872"/>
        <c:crosses val="autoZero"/>
        <c:crossBetween val="midCat"/>
      </c:valAx>
      <c:valAx>
        <c:axId val="15127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break even cost per DNA test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5127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8</xdr:row>
      <xdr:rowOff>161925</xdr:rowOff>
    </xdr:from>
    <xdr:to>
      <xdr:col>10</xdr:col>
      <xdr:colOff>381000</xdr:colOff>
      <xdr:row>10</xdr:row>
      <xdr:rowOff>171450</xdr:rowOff>
    </xdr:to>
    <xdr:sp macro="[0]!Macro1" textlink="">
      <xdr:nvSpPr>
        <xdr:cNvPr id="3" name="TextBox 2"/>
        <xdr:cNvSpPr txBox="1"/>
      </xdr:nvSpPr>
      <xdr:spPr>
        <a:xfrm>
          <a:off x="7134225" y="1685925"/>
          <a:ext cx="1314450" cy="39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new graph</a:t>
          </a:r>
        </a:p>
      </xdr:txBody>
    </xdr:sp>
    <xdr:clientData/>
  </xdr:twoCellAnchor>
  <xdr:twoCellAnchor>
    <xdr:from>
      <xdr:col>8</xdr:col>
      <xdr:colOff>514350</xdr:colOff>
      <xdr:row>17</xdr:row>
      <xdr:rowOff>114299</xdr:rowOff>
    </xdr:from>
    <xdr:to>
      <xdr:col>16</xdr:col>
      <xdr:colOff>323850</xdr:colOff>
      <xdr:row>39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8</xdr:row>
      <xdr:rowOff>161925</xdr:rowOff>
    </xdr:from>
    <xdr:to>
      <xdr:col>10</xdr:col>
      <xdr:colOff>381000</xdr:colOff>
      <xdr:row>10</xdr:row>
      <xdr:rowOff>171450</xdr:rowOff>
    </xdr:to>
    <xdr:sp macro="[0]!Macro1" textlink="">
      <xdr:nvSpPr>
        <xdr:cNvPr id="2" name="TextBox 1"/>
        <xdr:cNvSpPr txBox="1"/>
      </xdr:nvSpPr>
      <xdr:spPr>
        <a:xfrm>
          <a:off x="7134225" y="1685925"/>
          <a:ext cx="1314450" cy="39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new graph</a:t>
          </a:r>
        </a:p>
      </xdr:txBody>
    </xdr:sp>
    <xdr:clientData/>
  </xdr:twoCellAnchor>
  <xdr:twoCellAnchor>
    <xdr:from>
      <xdr:col>8</xdr:col>
      <xdr:colOff>514350</xdr:colOff>
      <xdr:row>17</xdr:row>
      <xdr:rowOff>114299</xdr:rowOff>
    </xdr:from>
    <xdr:to>
      <xdr:col>16</xdr:col>
      <xdr:colOff>323850</xdr:colOff>
      <xdr:row>39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5"/>
  <sheetViews>
    <sheetView workbookViewId="0">
      <selection activeCell="L12" sqref="L12"/>
    </sheetView>
  </sheetViews>
  <sheetFormatPr defaultRowHeight="14.4" x14ac:dyDescent="0.3"/>
  <cols>
    <col min="1" max="1" width="15.5546875" customWidth="1"/>
    <col min="2" max="2" width="21" customWidth="1"/>
    <col min="3" max="3" width="12.5546875" customWidth="1"/>
    <col min="4" max="4" width="15.5546875" customWidth="1"/>
    <col min="8" max="8" width="10.5546875" bestFit="1" customWidth="1"/>
    <col min="12" max="12" width="21" customWidth="1"/>
    <col min="13" max="13" width="16.5546875" style="1" customWidth="1"/>
    <col min="14" max="14" width="11.5546875" style="1" customWidth="1"/>
    <col min="15" max="16" width="9.109375" style="1"/>
    <col min="17" max="17" width="11.44140625" style="1" customWidth="1"/>
  </cols>
  <sheetData>
    <row r="1" spans="1:10" ht="15" x14ac:dyDescent="0.25">
      <c r="A1" t="s">
        <v>7</v>
      </c>
      <c r="D1" s="2" t="s">
        <v>0</v>
      </c>
      <c r="E1" s="8">
        <v>12000</v>
      </c>
      <c r="G1" s="32" t="s">
        <v>39</v>
      </c>
      <c r="H1" s="32"/>
      <c r="I1" s="32"/>
    </row>
    <row r="2" spans="1:10" ht="15" x14ac:dyDescent="0.25">
      <c r="D2" s="2" t="s">
        <v>3</v>
      </c>
      <c r="E2" s="7">
        <v>50</v>
      </c>
      <c r="G2" s="33" t="s">
        <v>40</v>
      </c>
      <c r="H2" s="33"/>
      <c r="I2" s="33"/>
      <c r="J2" s="33"/>
    </row>
    <row r="3" spans="1:10" ht="15" x14ac:dyDescent="0.25">
      <c r="D3" s="2" t="s">
        <v>4</v>
      </c>
      <c r="E3" s="7">
        <v>0.33333000000000002</v>
      </c>
    </row>
    <row r="4" spans="1:10" ht="15" x14ac:dyDescent="0.25">
      <c r="D4" s="2" t="s">
        <v>5</v>
      </c>
      <c r="E4" s="7">
        <v>1</v>
      </c>
    </row>
    <row r="5" spans="1:10" ht="15" x14ac:dyDescent="0.25">
      <c r="A5" s="13"/>
      <c r="B5" s="13"/>
      <c r="C5" s="13"/>
      <c r="D5" s="14" t="s">
        <v>1</v>
      </c>
      <c r="E5" s="16">
        <f>E1*E3/E2</f>
        <v>79.999200000000002</v>
      </c>
      <c r="F5" s="13"/>
    </row>
    <row r="6" spans="1:10" ht="15" x14ac:dyDescent="0.25">
      <c r="A6" s="3"/>
      <c r="B6" s="3"/>
      <c r="C6" s="3"/>
      <c r="D6" s="4" t="s">
        <v>2</v>
      </c>
      <c r="E6" s="19"/>
      <c r="F6" s="11">
        <f>(E2/E3)*E4</f>
        <v>150.00150001500015</v>
      </c>
    </row>
    <row r="7" spans="1:10" ht="15" x14ac:dyDescent="0.25">
      <c r="A7" s="20"/>
      <c r="B7" s="20"/>
      <c r="C7" s="20"/>
      <c r="D7" s="21"/>
      <c r="E7" s="20"/>
      <c r="F7" s="22"/>
    </row>
    <row r="8" spans="1:10" ht="15" x14ac:dyDescent="0.25">
      <c r="A8" t="s">
        <v>12</v>
      </c>
      <c r="D8" s="2" t="s">
        <v>13</v>
      </c>
      <c r="E8" s="29">
        <v>0.2</v>
      </c>
    </row>
    <row r="9" spans="1:10" ht="15" x14ac:dyDescent="0.25">
      <c r="D9" s="2" t="s">
        <v>16</v>
      </c>
      <c r="E9" s="7">
        <v>1</v>
      </c>
    </row>
    <row r="10" spans="1:10" x14ac:dyDescent="0.3">
      <c r="A10" s="13"/>
      <c r="B10" s="13"/>
      <c r="C10" s="13"/>
      <c r="D10" s="14" t="s">
        <v>15</v>
      </c>
      <c r="E10" s="15">
        <v>40</v>
      </c>
      <c r="F10" s="13"/>
      <c r="G10" s="13"/>
    </row>
    <row r="11" spans="1:10" x14ac:dyDescent="0.3">
      <c r="A11" s="13"/>
      <c r="B11" s="13"/>
      <c r="C11" s="13"/>
      <c r="D11" s="14" t="s">
        <v>14</v>
      </c>
      <c r="E11" s="16">
        <f>(E5/E8)*2/E9</f>
        <v>799.99199999999996</v>
      </c>
      <c r="F11" s="13"/>
      <c r="G11" s="13"/>
    </row>
    <row r="12" spans="1:10" x14ac:dyDescent="0.3">
      <c r="A12" s="13"/>
      <c r="B12" s="17"/>
      <c r="C12" s="13"/>
      <c r="D12" s="14" t="s">
        <v>17</v>
      </c>
      <c r="E12" s="16">
        <f>E11/E10</f>
        <v>19.9998</v>
      </c>
      <c r="F12" s="13"/>
      <c r="G12" s="13"/>
    </row>
    <row r="13" spans="1:10" x14ac:dyDescent="0.3">
      <c r="A13" s="13"/>
      <c r="B13" s="17"/>
      <c r="C13" s="13"/>
      <c r="D13" s="14" t="s">
        <v>20</v>
      </c>
      <c r="E13" s="16">
        <f>(E11*E9/2)*E8</f>
        <v>79.999200000000002</v>
      </c>
      <c r="F13" s="13"/>
      <c r="G13" s="13"/>
    </row>
    <row r="14" spans="1:10" x14ac:dyDescent="0.3">
      <c r="C14" s="2"/>
      <c r="D14" s="2" t="s">
        <v>10</v>
      </c>
      <c r="E14" s="29">
        <v>1</v>
      </c>
    </row>
    <row r="15" spans="1:10" x14ac:dyDescent="0.3">
      <c r="A15" s="13"/>
      <c r="B15" s="13"/>
      <c r="C15" s="13"/>
      <c r="D15" s="14" t="s">
        <v>18</v>
      </c>
      <c r="E15" s="16">
        <f>(E11*E9/2)*E14</f>
        <v>399.99599999999998</v>
      </c>
      <c r="F15" s="13"/>
      <c r="G15" s="2" t="s">
        <v>44</v>
      </c>
      <c r="H15" s="39">
        <f>E15*50</f>
        <v>19999.8</v>
      </c>
    </row>
    <row r="16" spans="1:10" x14ac:dyDescent="0.3">
      <c r="D16" s="2" t="s">
        <v>11</v>
      </c>
      <c r="E16" s="9">
        <f>E13/E12</f>
        <v>4</v>
      </c>
      <c r="G16" s="2" t="s">
        <v>45</v>
      </c>
      <c r="H16" s="39">
        <f>E12*G38+E13*G39</f>
        <v>19619.279747625951</v>
      </c>
    </row>
    <row r="17" spans="1:18" x14ac:dyDescent="0.3">
      <c r="D17" s="2" t="s">
        <v>19</v>
      </c>
      <c r="E17" s="9">
        <f>E15/E12</f>
        <v>20</v>
      </c>
    </row>
    <row r="18" spans="1:18" x14ac:dyDescent="0.3">
      <c r="D18" s="2" t="s">
        <v>25</v>
      </c>
      <c r="E18" s="18"/>
      <c r="F18" s="10">
        <f>E16*F6</f>
        <v>600.00600006000059</v>
      </c>
      <c r="R18" s="25"/>
    </row>
    <row r="19" spans="1:18" s="25" customFormat="1" x14ac:dyDescent="0.3">
      <c r="A19" s="20"/>
      <c r="B19" s="20"/>
      <c r="C19" s="20"/>
      <c r="D19" s="20"/>
      <c r="E19" s="22"/>
      <c r="F19" s="20"/>
      <c r="G19"/>
      <c r="H19"/>
      <c r="I19"/>
      <c r="K19"/>
      <c r="L19"/>
      <c r="M19" s="1"/>
      <c r="N19" s="1"/>
      <c r="O19" s="1"/>
      <c r="P19" s="1"/>
      <c r="Q19" s="1"/>
      <c r="R19"/>
    </row>
    <row r="20" spans="1:18" x14ac:dyDescent="0.3">
      <c r="A20" t="s">
        <v>33</v>
      </c>
      <c r="E20" s="1"/>
      <c r="J20" s="40" t="s">
        <v>47</v>
      </c>
      <c r="K20" s="40" t="s">
        <v>48</v>
      </c>
    </row>
    <row r="21" spans="1:18" x14ac:dyDescent="0.3">
      <c r="B21" s="3"/>
      <c r="C21" s="3"/>
      <c r="D21" s="4" t="s">
        <v>35</v>
      </c>
      <c r="E21" s="30">
        <v>10</v>
      </c>
      <c r="F21" s="5"/>
      <c r="I21" s="40"/>
      <c r="J21" s="40"/>
      <c r="K21" s="41"/>
      <c r="L21" s="40"/>
    </row>
    <row r="22" spans="1:18" x14ac:dyDescent="0.3">
      <c r="D22" s="2" t="s">
        <v>8</v>
      </c>
      <c r="E22" s="7">
        <v>2</v>
      </c>
      <c r="I22" s="40"/>
      <c r="J22" s="40"/>
      <c r="K22" s="41"/>
      <c r="L22" s="40"/>
    </row>
    <row r="23" spans="1:18" x14ac:dyDescent="0.3">
      <c r="B23" s="3"/>
      <c r="C23" s="3"/>
      <c r="D23" s="4" t="s">
        <v>9</v>
      </c>
      <c r="E23" s="7">
        <v>0.5</v>
      </c>
      <c r="I23" s="40"/>
      <c r="J23" s="40">
        <v>0.15000000000000002</v>
      </c>
      <c r="K23" s="41">
        <v>272.49272142201937</v>
      </c>
      <c r="L23" s="40"/>
    </row>
    <row r="24" spans="1:18" x14ac:dyDescent="0.3">
      <c r="D24" s="2"/>
      <c r="E24" s="1"/>
      <c r="I24" s="40"/>
      <c r="J24" s="40">
        <v>0.2</v>
      </c>
      <c r="K24" s="41">
        <v>204.36954106651456</v>
      </c>
      <c r="L24" s="40"/>
    </row>
    <row r="25" spans="1:18" x14ac:dyDescent="0.3">
      <c r="D25" s="2" t="s">
        <v>21</v>
      </c>
      <c r="E25" s="31">
        <v>0.44</v>
      </c>
      <c r="F25" s="24" t="s">
        <v>23</v>
      </c>
      <c r="I25" s="40"/>
      <c r="J25" s="40">
        <v>0.25</v>
      </c>
      <c r="K25" s="41">
        <v>163.49563285321165</v>
      </c>
      <c r="L25" s="40"/>
    </row>
    <row r="26" spans="1:18" x14ac:dyDescent="0.3">
      <c r="D26" s="2" t="s">
        <v>22</v>
      </c>
      <c r="E26" s="31">
        <v>0.49</v>
      </c>
      <c r="F26" s="12">
        <f>(E26-E25)/E25</f>
        <v>0.1136363636363636</v>
      </c>
      <c r="I26" s="40"/>
      <c r="J26" s="40">
        <v>0.30000000000000004</v>
      </c>
      <c r="K26" s="41">
        <v>136.24636071100969</v>
      </c>
      <c r="L26" s="40"/>
    </row>
    <row r="27" spans="1:18" x14ac:dyDescent="0.3">
      <c r="B27" s="3"/>
      <c r="C27" s="3"/>
      <c r="D27" s="4" t="s">
        <v>24</v>
      </c>
      <c r="E27" s="7">
        <v>0.4</v>
      </c>
      <c r="I27" s="40"/>
      <c r="J27" s="40">
        <v>0.35000000000000003</v>
      </c>
      <c r="K27" s="41">
        <v>116.78259489515118</v>
      </c>
      <c r="L27" s="40"/>
    </row>
    <row r="28" spans="1:18" x14ac:dyDescent="0.3">
      <c r="D28" s="2" t="s">
        <v>28</v>
      </c>
      <c r="E28" s="31">
        <v>2</v>
      </c>
      <c r="I28" s="42"/>
      <c r="J28" s="40">
        <v>0.4</v>
      </c>
      <c r="K28" s="41">
        <v>102.18477053325728</v>
      </c>
      <c r="L28" s="40"/>
    </row>
    <row r="29" spans="1:18" x14ac:dyDescent="0.3">
      <c r="D29" s="2" t="s">
        <v>29</v>
      </c>
      <c r="E29" s="31">
        <v>4</v>
      </c>
      <c r="I29" s="40"/>
      <c r="J29" s="40">
        <v>0.45</v>
      </c>
      <c r="K29" s="41">
        <v>90.830907140673133</v>
      </c>
      <c r="L29" s="40"/>
    </row>
    <row r="30" spans="1:18" x14ac:dyDescent="0.3">
      <c r="B30" t="s">
        <v>32</v>
      </c>
      <c r="C30" s="6">
        <f>H65</f>
        <v>1.3624499824740259</v>
      </c>
      <c r="D30" s="2" t="s">
        <v>27</v>
      </c>
      <c r="E30" s="6">
        <f>C30</f>
        <v>1.3624499824740259</v>
      </c>
      <c r="I30" s="40"/>
      <c r="J30" s="40">
        <v>0.5</v>
      </c>
      <c r="K30" s="41">
        <v>81.747816426605823</v>
      </c>
      <c r="L30" s="40"/>
    </row>
    <row r="31" spans="1:18" x14ac:dyDescent="0.3">
      <c r="D31" s="2" t="s">
        <v>26</v>
      </c>
      <c r="E31" s="7">
        <v>0.6</v>
      </c>
      <c r="I31" s="40"/>
      <c r="J31" s="40">
        <v>0.55000000000000004</v>
      </c>
      <c r="K31" s="41">
        <v>74.316196751459842</v>
      </c>
      <c r="L31" s="40"/>
    </row>
    <row r="32" spans="1:18" x14ac:dyDescent="0.3">
      <c r="D32" s="2"/>
      <c r="E32" s="1" t="s">
        <v>37</v>
      </c>
      <c r="F32" s="1" t="s">
        <v>6</v>
      </c>
      <c r="I32" s="40"/>
      <c r="J32" s="40">
        <v>0.60000000000000009</v>
      </c>
      <c r="K32" s="41">
        <v>68.123180355504843</v>
      </c>
      <c r="L32" s="40"/>
    </row>
    <row r="33" spans="1:12" x14ac:dyDescent="0.3">
      <c r="D33" s="2" t="s">
        <v>34</v>
      </c>
      <c r="E33" s="9">
        <f>E22*E25*E21</f>
        <v>8.8000000000000007</v>
      </c>
      <c r="F33" s="9">
        <f>E22*E26*E21</f>
        <v>9.8000000000000007</v>
      </c>
      <c r="I33" s="40"/>
      <c r="J33" s="40">
        <v>0.65</v>
      </c>
      <c r="K33" s="41">
        <v>62.882935712773715</v>
      </c>
      <c r="L33" s="40"/>
    </row>
    <row r="34" spans="1:12" x14ac:dyDescent="0.3">
      <c r="D34" s="35" t="s">
        <v>42</v>
      </c>
      <c r="E34" s="9">
        <f>E23*E25*E21</f>
        <v>2.2000000000000002</v>
      </c>
      <c r="F34" s="9">
        <f>E23*E27*E21</f>
        <v>2</v>
      </c>
      <c r="G34" s="26" t="s">
        <v>23</v>
      </c>
      <c r="I34" s="40"/>
      <c r="J34" s="40">
        <v>0.70000000000000007</v>
      </c>
      <c r="K34" s="41">
        <v>58.391297447575589</v>
      </c>
      <c r="L34" s="40"/>
    </row>
    <row r="35" spans="1:12" x14ac:dyDescent="0.3">
      <c r="D35" s="2" t="s">
        <v>36</v>
      </c>
      <c r="E35" s="27">
        <f>(E33+E34)/(E28+E29)</f>
        <v>1.8333333333333333</v>
      </c>
      <c r="F35" s="27">
        <f>(F33+F34)/(E28+E29)</f>
        <v>1.9666666666666668</v>
      </c>
      <c r="G35" s="23">
        <f>(F35-E35)/E35</f>
        <v>7.2727272727272835E-2</v>
      </c>
      <c r="I35" s="40"/>
      <c r="J35" s="40">
        <v>0.75</v>
      </c>
      <c r="K35" s="41">
        <v>54.498544284403891</v>
      </c>
      <c r="L35" s="40"/>
    </row>
    <row r="36" spans="1:12" x14ac:dyDescent="0.3">
      <c r="D36" s="2" t="s">
        <v>38</v>
      </c>
      <c r="E36" s="36">
        <f>(F33-E33)*E30*F18/E17</f>
        <v>40.873908213302911</v>
      </c>
      <c r="I36" s="40"/>
      <c r="J36" s="40">
        <v>0.8</v>
      </c>
      <c r="K36" s="41">
        <v>51.092385266628639</v>
      </c>
      <c r="L36" s="40"/>
    </row>
    <row r="37" spans="1:12" x14ac:dyDescent="0.3">
      <c r="D37" s="2"/>
      <c r="E37" s="28"/>
      <c r="G37" t="s">
        <v>46</v>
      </c>
      <c r="I37" s="40"/>
      <c r="J37" s="40">
        <v>0.85000000000000009</v>
      </c>
      <c r="K37" s="41">
        <v>48.086950839179899</v>
      </c>
      <c r="L37" s="40"/>
    </row>
    <row r="38" spans="1:12" x14ac:dyDescent="0.3">
      <c r="D38" s="2" t="s">
        <v>41</v>
      </c>
      <c r="E38" s="28">
        <f>E33*F18*E30</f>
        <v>7193.8078455413133</v>
      </c>
      <c r="F38" s="37">
        <f>F33*E30*F18</f>
        <v>8011.2860098073706</v>
      </c>
      <c r="G38" s="34">
        <f>F38-E38</f>
        <v>817.47816426605732</v>
      </c>
      <c r="I38" s="40"/>
      <c r="J38" s="40">
        <v>0.9</v>
      </c>
      <c r="K38" s="41">
        <v>45.415453570336567</v>
      </c>
      <c r="L38" s="40"/>
    </row>
    <row r="39" spans="1:12" x14ac:dyDescent="0.3">
      <c r="D39" s="38" t="s">
        <v>43</v>
      </c>
      <c r="E39" s="37">
        <f>E33*E31*F6*0.33</f>
        <v>261.36261362613629</v>
      </c>
      <c r="F39" s="37">
        <f>E31*F33*0.33*F6</f>
        <v>291.06291062910628</v>
      </c>
      <c r="G39" s="34">
        <f>G38/E17</f>
        <v>40.873908213302869</v>
      </c>
      <c r="I39" s="40"/>
      <c r="J39" s="40">
        <v>0.95000000000000007</v>
      </c>
      <c r="K39" s="41">
        <v>43.025166540318857</v>
      </c>
      <c r="L39" s="40"/>
    </row>
    <row r="40" spans="1:12" x14ac:dyDescent="0.3">
      <c r="A40" s="3"/>
      <c r="B40" s="3"/>
      <c r="C40" s="3"/>
      <c r="D40" s="3"/>
      <c r="E40" s="3"/>
      <c r="F40" s="3"/>
      <c r="G40" s="3"/>
      <c r="H40" s="3"/>
      <c r="I40" s="43"/>
      <c r="J40" s="43">
        <v>1</v>
      </c>
      <c r="K40" s="41">
        <v>40.873908213302911</v>
      </c>
      <c r="L40" s="40"/>
    </row>
    <row r="41" spans="1:12" x14ac:dyDescent="0.3">
      <c r="C41" t="s">
        <v>30</v>
      </c>
      <c r="E41">
        <f>(E28+E29)/2</f>
        <v>3</v>
      </c>
      <c r="I41" s="40"/>
      <c r="J41" s="40"/>
      <c r="K41" s="40"/>
      <c r="L41" s="40"/>
    </row>
    <row r="42" spans="1:12" x14ac:dyDescent="0.3">
      <c r="C42" t="s">
        <v>31</v>
      </c>
      <c r="E42">
        <f>(1/E3)/2+1</f>
        <v>2.5000150001500012</v>
      </c>
      <c r="I42" s="40"/>
      <c r="J42" s="40"/>
      <c r="K42" s="40"/>
      <c r="L42" s="40"/>
    </row>
    <row r="43" spans="1:12" x14ac:dyDescent="0.3">
      <c r="D43">
        <v>7.0000000000000007E-2</v>
      </c>
      <c r="I43" s="40"/>
      <c r="J43" s="40"/>
      <c r="K43" s="40"/>
      <c r="L43" s="40"/>
    </row>
    <row r="44" spans="1:12" x14ac:dyDescent="0.3">
      <c r="B44">
        <v>1</v>
      </c>
      <c r="C44">
        <v>1</v>
      </c>
      <c r="D44">
        <v>1</v>
      </c>
      <c r="E44">
        <f>IF(B44&lt;E41,0,0.5)</f>
        <v>0</v>
      </c>
      <c r="F44">
        <f>IF(B44&lt;($E$41+$E$42),0,0.5)</f>
        <v>0</v>
      </c>
      <c r="G44">
        <f>1/($E$28+$E$29)</f>
        <v>0.16666666666666666</v>
      </c>
      <c r="H44">
        <f>G44*(E44+F44)*D44</f>
        <v>0</v>
      </c>
      <c r="I44" s="40"/>
      <c r="J44" s="40"/>
      <c r="K44" s="40"/>
      <c r="L44" s="40"/>
    </row>
    <row r="45" spans="1:12" x14ac:dyDescent="0.3">
      <c r="B45">
        <v>2</v>
      </c>
      <c r="C45">
        <v>1</v>
      </c>
      <c r="D45">
        <f>D44/(1+$D$43)</f>
        <v>0.93457943925233644</v>
      </c>
      <c r="E45">
        <f t="shared" ref="E45:E63" si="0">IF(B45&lt;E42,0,0.5)</f>
        <v>0</v>
      </c>
      <c r="F45">
        <f t="shared" ref="F45:F63" si="1">IF(B45&lt;($E$41+$E$42),0,0.5)</f>
        <v>0</v>
      </c>
      <c r="G45">
        <f t="shared" ref="G45:G63" si="2">1/($E$28+$E$29)</f>
        <v>0.16666666666666666</v>
      </c>
      <c r="H45">
        <f t="shared" ref="H45:H63" si="3">G45*(E45+F45)*D45</f>
        <v>0</v>
      </c>
    </row>
    <row r="46" spans="1:12" x14ac:dyDescent="0.3">
      <c r="B46">
        <v>3</v>
      </c>
      <c r="C46">
        <v>1</v>
      </c>
      <c r="D46">
        <f t="shared" ref="D46:D63" si="4">D45/(1+$D$43)</f>
        <v>0.87343872827321156</v>
      </c>
      <c r="E46">
        <f t="shared" si="0"/>
        <v>0.5</v>
      </c>
      <c r="F46">
        <f t="shared" si="1"/>
        <v>0</v>
      </c>
      <c r="G46">
        <f t="shared" si="2"/>
        <v>0.16666666666666666</v>
      </c>
      <c r="H46">
        <f t="shared" si="3"/>
        <v>7.2786560689434288E-2</v>
      </c>
    </row>
    <row r="47" spans="1:12" x14ac:dyDescent="0.3">
      <c r="B47">
        <v>4</v>
      </c>
      <c r="C47">
        <v>1</v>
      </c>
      <c r="D47">
        <f t="shared" si="4"/>
        <v>0.81629787689085187</v>
      </c>
      <c r="E47">
        <f t="shared" si="0"/>
        <v>0.5</v>
      </c>
      <c r="F47">
        <f t="shared" si="1"/>
        <v>0</v>
      </c>
      <c r="G47">
        <f t="shared" si="2"/>
        <v>0.16666666666666666</v>
      </c>
      <c r="H47">
        <f t="shared" si="3"/>
        <v>6.8024823074237656E-2</v>
      </c>
    </row>
    <row r="48" spans="1:12" x14ac:dyDescent="0.3">
      <c r="B48">
        <v>5</v>
      </c>
      <c r="C48">
        <v>1</v>
      </c>
      <c r="D48">
        <f t="shared" si="4"/>
        <v>0.76289521204752508</v>
      </c>
      <c r="E48">
        <f t="shared" si="0"/>
        <v>0.5</v>
      </c>
      <c r="F48">
        <f t="shared" si="1"/>
        <v>0</v>
      </c>
      <c r="G48">
        <f t="shared" si="2"/>
        <v>0.16666666666666666</v>
      </c>
      <c r="H48">
        <f t="shared" si="3"/>
        <v>6.3574601003960424E-2</v>
      </c>
    </row>
    <row r="49" spans="2:8" x14ac:dyDescent="0.3">
      <c r="B49">
        <v>6</v>
      </c>
      <c r="C49">
        <v>1</v>
      </c>
      <c r="D49">
        <f t="shared" si="4"/>
        <v>0.71298617948366827</v>
      </c>
      <c r="E49">
        <f t="shared" si="0"/>
        <v>0.5</v>
      </c>
      <c r="F49">
        <f t="shared" si="1"/>
        <v>0.5</v>
      </c>
      <c r="G49">
        <f t="shared" si="2"/>
        <v>0.16666666666666666</v>
      </c>
      <c r="H49">
        <f t="shared" si="3"/>
        <v>0.1188310299139447</v>
      </c>
    </row>
    <row r="50" spans="2:8" x14ac:dyDescent="0.3">
      <c r="B50">
        <v>7</v>
      </c>
      <c r="C50">
        <v>1</v>
      </c>
      <c r="D50">
        <f t="shared" si="4"/>
        <v>0.66634222381651231</v>
      </c>
      <c r="E50">
        <f t="shared" si="0"/>
        <v>0.5</v>
      </c>
      <c r="F50">
        <f t="shared" si="1"/>
        <v>0.5</v>
      </c>
      <c r="G50">
        <f t="shared" si="2"/>
        <v>0.16666666666666666</v>
      </c>
      <c r="H50">
        <f t="shared" si="3"/>
        <v>0.11105703730275204</v>
      </c>
    </row>
    <row r="51" spans="2:8" x14ac:dyDescent="0.3">
      <c r="B51">
        <v>8</v>
      </c>
      <c r="C51">
        <v>1</v>
      </c>
      <c r="D51">
        <f t="shared" si="4"/>
        <v>0.62274974188459087</v>
      </c>
      <c r="E51">
        <f t="shared" si="0"/>
        <v>0.5</v>
      </c>
      <c r="F51">
        <f t="shared" si="1"/>
        <v>0.5</v>
      </c>
      <c r="G51">
        <f t="shared" si="2"/>
        <v>0.16666666666666666</v>
      </c>
      <c r="H51">
        <f t="shared" si="3"/>
        <v>0.1037916236474318</v>
      </c>
    </row>
    <row r="52" spans="2:8" x14ac:dyDescent="0.3">
      <c r="B52">
        <v>9</v>
      </c>
      <c r="C52">
        <v>1</v>
      </c>
      <c r="D52">
        <f t="shared" si="4"/>
        <v>0.58200910456503818</v>
      </c>
      <c r="E52">
        <f t="shared" si="0"/>
        <v>0.5</v>
      </c>
      <c r="F52">
        <f t="shared" si="1"/>
        <v>0.5</v>
      </c>
      <c r="G52">
        <f t="shared" si="2"/>
        <v>0.16666666666666666</v>
      </c>
      <c r="H52">
        <f t="shared" si="3"/>
        <v>9.7001517427506359E-2</v>
      </c>
    </row>
    <row r="53" spans="2:8" x14ac:dyDescent="0.3">
      <c r="B53">
        <v>10</v>
      </c>
      <c r="C53">
        <v>1</v>
      </c>
      <c r="D53">
        <f t="shared" si="4"/>
        <v>0.54393374258414784</v>
      </c>
      <c r="E53">
        <f t="shared" si="0"/>
        <v>0.5</v>
      </c>
      <c r="F53">
        <f t="shared" si="1"/>
        <v>0.5</v>
      </c>
      <c r="G53">
        <f t="shared" si="2"/>
        <v>0.16666666666666666</v>
      </c>
      <c r="H53">
        <f t="shared" si="3"/>
        <v>9.065562376402464E-2</v>
      </c>
    </row>
    <row r="54" spans="2:8" x14ac:dyDescent="0.3">
      <c r="B54">
        <v>11</v>
      </c>
      <c r="C54">
        <v>1</v>
      </c>
      <c r="D54">
        <f t="shared" si="4"/>
        <v>0.50834929213471758</v>
      </c>
      <c r="E54">
        <f t="shared" si="0"/>
        <v>0.5</v>
      </c>
      <c r="F54">
        <f t="shared" si="1"/>
        <v>0.5</v>
      </c>
      <c r="G54">
        <f t="shared" si="2"/>
        <v>0.16666666666666666</v>
      </c>
      <c r="H54">
        <f t="shared" si="3"/>
        <v>8.472488202245293E-2</v>
      </c>
    </row>
    <row r="55" spans="2:8" x14ac:dyDescent="0.3">
      <c r="B55">
        <v>12</v>
      </c>
      <c r="C55">
        <v>1</v>
      </c>
      <c r="D55">
        <f t="shared" si="4"/>
        <v>0.4750927963875865</v>
      </c>
      <c r="E55">
        <f t="shared" si="0"/>
        <v>0.5</v>
      </c>
      <c r="F55">
        <f t="shared" si="1"/>
        <v>0.5</v>
      </c>
      <c r="G55">
        <f t="shared" si="2"/>
        <v>0.16666666666666666</v>
      </c>
      <c r="H55">
        <f t="shared" si="3"/>
        <v>7.9182132731264412E-2</v>
      </c>
    </row>
    <row r="56" spans="2:8" x14ac:dyDescent="0.3">
      <c r="B56">
        <v>13</v>
      </c>
      <c r="C56">
        <v>1</v>
      </c>
      <c r="D56">
        <f t="shared" si="4"/>
        <v>0.444011959240735</v>
      </c>
      <c r="E56">
        <f t="shared" si="0"/>
        <v>0.5</v>
      </c>
      <c r="F56">
        <f t="shared" si="1"/>
        <v>0.5</v>
      </c>
      <c r="G56">
        <f t="shared" si="2"/>
        <v>0.16666666666666666</v>
      </c>
      <c r="H56">
        <f t="shared" si="3"/>
        <v>7.4001993206789157E-2</v>
      </c>
    </row>
    <row r="57" spans="2:8" x14ac:dyDescent="0.3">
      <c r="B57">
        <v>14</v>
      </c>
      <c r="C57">
        <v>1</v>
      </c>
      <c r="D57">
        <f t="shared" si="4"/>
        <v>0.41496444788853737</v>
      </c>
      <c r="E57">
        <f t="shared" si="0"/>
        <v>0.5</v>
      </c>
      <c r="F57">
        <f t="shared" si="1"/>
        <v>0.5</v>
      </c>
      <c r="G57">
        <f t="shared" si="2"/>
        <v>0.16666666666666666</v>
      </c>
      <c r="H57">
        <f t="shared" si="3"/>
        <v>6.9160741314756219E-2</v>
      </c>
    </row>
    <row r="58" spans="2:8" x14ac:dyDescent="0.3">
      <c r="B58">
        <v>15</v>
      </c>
      <c r="C58">
        <v>1</v>
      </c>
      <c r="D58">
        <f t="shared" si="4"/>
        <v>0.38781724101732462</v>
      </c>
      <c r="E58">
        <f t="shared" si="0"/>
        <v>0.5</v>
      </c>
      <c r="F58">
        <f t="shared" si="1"/>
        <v>0.5</v>
      </c>
      <c r="G58">
        <f t="shared" si="2"/>
        <v>0.16666666666666666</v>
      </c>
      <c r="H58">
        <f t="shared" si="3"/>
        <v>6.4636206836220761E-2</v>
      </c>
    </row>
    <row r="59" spans="2:8" x14ac:dyDescent="0.3">
      <c r="B59">
        <v>16</v>
      </c>
      <c r="C59">
        <v>1</v>
      </c>
      <c r="D59">
        <f t="shared" si="4"/>
        <v>0.36244601964235945</v>
      </c>
      <c r="E59">
        <f t="shared" si="0"/>
        <v>0.5</v>
      </c>
      <c r="F59">
        <f t="shared" si="1"/>
        <v>0.5</v>
      </c>
      <c r="G59">
        <f t="shared" si="2"/>
        <v>0.16666666666666666</v>
      </c>
      <c r="H59">
        <f t="shared" si="3"/>
        <v>6.040766994039324E-2</v>
      </c>
    </row>
    <row r="60" spans="2:8" x14ac:dyDescent="0.3">
      <c r="B60">
        <v>17</v>
      </c>
      <c r="C60">
        <v>1</v>
      </c>
      <c r="D60">
        <f t="shared" si="4"/>
        <v>0.33873459779659759</v>
      </c>
      <c r="E60">
        <f t="shared" si="0"/>
        <v>0.5</v>
      </c>
      <c r="F60">
        <f t="shared" si="1"/>
        <v>0.5</v>
      </c>
      <c r="G60">
        <f t="shared" si="2"/>
        <v>0.16666666666666666</v>
      </c>
      <c r="H60">
        <f t="shared" si="3"/>
        <v>5.6455766299432927E-2</v>
      </c>
    </row>
    <row r="61" spans="2:8" x14ac:dyDescent="0.3">
      <c r="B61">
        <v>18</v>
      </c>
      <c r="C61">
        <v>1</v>
      </c>
      <c r="D61">
        <f t="shared" si="4"/>
        <v>0.3165743904641099</v>
      </c>
      <c r="E61">
        <f t="shared" si="0"/>
        <v>0.5</v>
      </c>
      <c r="F61">
        <f t="shared" si="1"/>
        <v>0.5</v>
      </c>
      <c r="G61">
        <f t="shared" si="2"/>
        <v>0.16666666666666666</v>
      </c>
      <c r="H61">
        <f t="shared" si="3"/>
        <v>5.2762398410684981E-2</v>
      </c>
    </row>
    <row r="62" spans="2:8" x14ac:dyDescent="0.3">
      <c r="B62">
        <v>19</v>
      </c>
      <c r="C62">
        <v>1</v>
      </c>
      <c r="D62">
        <f t="shared" si="4"/>
        <v>0.29586391632159803</v>
      </c>
      <c r="E62">
        <f t="shared" si="0"/>
        <v>0.5</v>
      </c>
      <c r="F62">
        <f t="shared" si="1"/>
        <v>0.5</v>
      </c>
      <c r="G62">
        <f t="shared" si="2"/>
        <v>0.16666666666666666</v>
      </c>
      <c r="H62">
        <f t="shared" si="3"/>
        <v>4.9310652720266336E-2</v>
      </c>
    </row>
    <row r="63" spans="2:8" x14ac:dyDescent="0.3">
      <c r="B63">
        <v>20</v>
      </c>
      <c r="C63">
        <v>1</v>
      </c>
      <c r="D63">
        <f t="shared" si="4"/>
        <v>0.27650833301083927</v>
      </c>
      <c r="E63">
        <f t="shared" si="0"/>
        <v>0.5</v>
      </c>
      <c r="F63">
        <f t="shared" si="1"/>
        <v>0.5</v>
      </c>
      <c r="G63">
        <f t="shared" si="2"/>
        <v>0.16666666666666666</v>
      </c>
      <c r="H63">
        <f t="shared" si="3"/>
        <v>4.6084722168473209E-2</v>
      </c>
    </row>
    <row r="65" spans="8:8" x14ac:dyDescent="0.3">
      <c r="H65">
        <f>SUM(H44:H63)</f>
        <v>1.3624499824740259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9:H19"/>
  <sheetViews>
    <sheetView workbookViewId="0">
      <selection activeCell="C9" sqref="C9:H19"/>
    </sheetView>
  </sheetViews>
  <sheetFormatPr defaultRowHeight="14.4" x14ac:dyDescent="0.3"/>
  <cols>
    <col min="4" max="4" width="31.44140625" customWidth="1"/>
  </cols>
  <sheetData>
    <row r="9" spans="3:8" ht="15" x14ac:dyDescent="0.25">
      <c r="C9" t="s">
        <v>12</v>
      </c>
      <c r="F9" s="2" t="s">
        <v>13</v>
      </c>
      <c r="G9" s="29">
        <v>0.2</v>
      </c>
    </row>
    <row r="10" spans="3:8" x14ac:dyDescent="0.3">
      <c r="F10" s="2" t="s">
        <v>16</v>
      </c>
      <c r="G10" s="7">
        <v>1</v>
      </c>
    </row>
    <row r="11" spans="3:8" x14ac:dyDescent="0.3">
      <c r="C11" s="13"/>
      <c r="D11" s="13"/>
      <c r="E11" s="13"/>
      <c r="F11" s="14" t="s">
        <v>15</v>
      </c>
      <c r="G11" s="15">
        <v>40</v>
      </c>
      <c r="H11" s="13"/>
    </row>
    <row r="12" spans="3:8" x14ac:dyDescent="0.3">
      <c r="C12" s="13"/>
      <c r="D12" s="13"/>
      <c r="E12" s="13"/>
      <c r="F12" s="14" t="s">
        <v>14</v>
      </c>
      <c r="G12" s="16">
        <v>799.99199999999996</v>
      </c>
      <c r="H12" s="13"/>
    </row>
    <row r="13" spans="3:8" x14ac:dyDescent="0.3">
      <c r="C13" s="13"/>
      <c r="D13" s="17"/>
      <c r="E13" s="13"/>
      <c r="F13" s="14" t="s">
        <v>17</v>
      </c>
      <c r="G13" s="16">
        <v>19.9998</v>
      </c>
      <c r="H13" s="13"/>
    </row>
    <row r="14" spans="3:8" x14ac:dyDescent="0.3">
      <c r="C14" s="13"/>
      <c r="D14" s="17"/>
      <c r="E14" s="13"/>
      <c r="F14" s="14" t="s">
        <v>20</v>
      </c>
      <c r="G14" s="16">
        <v>79.999200000000002</v>
      </c>
      <c r="H14" s="13"/>
    </row>
    <row r="16" spans="3:8" x14ac:dyDescent="0.3">
      <c r="C16" s="13"/>
      <c r="D16" s="13"/>
      <c r="E16" s="13"/>
      <c r="F16" s="13"/>
      <c r="G16" s="13"/>
      <c r="H16" s="13"/>
    </row>
    <row r="17" spans="6:8" x14ac:dyDescent="0.3">
      <c r="F17" s="2" t="s">
        <v>11</v>
      </c>
      <c r="G17" s="9">
        <v>4</v>
      </c>
    </row>
    <row r="19" spans="6:8" x14ac:dyDescent="0.3">
      <c r="F19" s="2" t="s">
        <v>25</v>
      </c>
      <c r="G19" s="18"/>
      <c r="H19" s="10">
        <v>600.00600006000059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65"/>
  <sheetViews>
    <sheetView tabSelected="1" topLeftCell="A17" workbookViewId="0">
      <selection activeCell="H27" sqref="H27"/>
    </sheetView>
  </sheetViews>
  <sheetFormatPr defaultRowHeight="14.4" x14ac:dyDescent="0.3"/>
  <cols>
    <col min="1" max="1" width="15.5546875" customWidth="1"/>
    <col min="2" max="2" width="21" customWidth="1"/>
    <col min="3" max="3" width="12.5546875" customWidth="1"/>
    <col min="4" max="4" width="15.5546875" customWidth="1"/>
    <col min="8" max="8" width="10.5546875" bestFit="1" customWidth="1"/>
    <col min="12" max="12" width="21" customWidth="1"/>
    <col min="13" max="13" width="16.5546875" style="1" customWidth="1"/>
    <col min="14" max="14" width="11.5546875" style="1" customWidth="1"/>
    <col min="15" max="16" width="9.109375" style="1"/>
    <col min="17" max="17" width="11.44140625" style="1" customWidth="1"/>
  </cols>
  <sheetData>
    <row r="1" spans="1:10" ht="15" x14ac:dyDescent="0.25">
      <c r="A1" t="s">
        <v>7</v>
      </c>
      <c r="D1" s="2" t="s">
        <v>49</v>
      </c>
      <c r="E1" s="8">
        <v>12000</v>
      </c>
      <c r="G1" s="32" t="s">
        <v>39</v>
      </c>
      <c r="H1" s="32"/>
      <c r="I1" s="32"/>
    </row>
    <row r="2" spans="1:10" ht="15" x14ac:dyDescent="0.25">
      <c r="D2" s="2" t="s">
        <v>3</v>
      </c>
      <c r="E2" s="7">
        <v>50</v>
      </c>
      <c r="G2" s="33" t="s">
        <v>40</v>
      </c>
      <c r="H2" s="33"/>
      <c r="I2" s="33"/>
      <c r="J2" s="33"/>
    </row>
    <row r="3" spans="1:10" ht="15" x14ac:dyDescent="0.25">
      <c r="D3" s="2" t="s">
        <v>4</v>
      </c>
      <c r="E3" s="7">
        <v>0.33333000000000002</v>
      </c>
    </row>
    <row r="4" spans="1:10" ht="15" x14ac:dyDescent="0.25">
      <c r="D4" s="2" t="s">
        <v>5</v>
      </c>
      <c r="E4" s="7">
        <v>1</v>
      </c>
    </row>
    <row r="5" spans="1:10" ht="15" x14ac:dyDescent="0.25">
      <c r="A5" s="13"/>
      <c r="B5" s="13"/>
      <c r="C5" s="13"/>
      <c r="D5" s="14" t="s">
        <v>50</v>
      </c>
      <c r="E5" s="16">
        <f>E1*E3/E2</f>
        <v>79.999200000000002</v>
      </c>
      <c r="F5" s="13"/>
    </row>
    <row r="6" spans="1:10" ht="15" x14ac:dyDescent="0.25">
      <c r="A6" s="3"/>
      <c r="B6" s="3"/>
      <c r="C6" s="3"/>
      <c r="D6" s="4" t="s">
        <v>2</v>
      </c>
      <c r="E6" s="19"/>
      <c r="F6" s="11">
        <f>(E2/E3)*E4</f>
        <v>150.00150001500015</v>
      </c>
    </row>
    <row r="7" spans="1:10" ht="15" x14ac:dyDescent="0.25">
      <c r="A7" s="20"/>
      <c r="B7" s="20"/>
      <c r="C7" s="20"/>
      <c r="D7" s="21"/>
      <c r="E7" s="20"/>
      <c r="F7" s="22"/>
    </row>
    <row r="8" spans="1:10" ht="15" x14ac:dyDescent="0.25">
      <c r="A8" t="s">
        <v>12</v>
      </c>
      <c r="D8" s="2" t="s">
        <v>51</v>
      </c>
      <c r="E8" s="29">
        <v>0.2</v>
      </c>
    </row>
    <row r="9" spans="1:10" ht="15" x14ac:dyDescent="0.25">
      <c r="D9" s="2" t="s">
        <v>16</v>
      </c>
      <c r="E9" s="7">
        <v>1</v>
      </c>
    </row>
    <row r="10" spans="1:10" ht="15" x14ac:dyDescent="0.25">
      <c r="A10" s="13"/>
      <c r="B10" s="13"/>
      <c r="C10" s="13"/>
      <c r="D10" s="14" t="s">
        <v>15</v>
      </c>
      <c r="E10" s="15">
        <v>40</v>
      </c>
      <c r="F10" s="13"/>
      <c r="G10" s="13"/>
    </row>
    <row r="11" spans="1:10" ht="15" x14ac:dyDescent="0.25">
      <c r="A11" s="13"/>
      <c r="B11" s="13"/>
      <c r="C11" s="13"/>
      <c r="D11" s="14" t="s">
        <v>52</v>
      </c>
      <c r="E11" s="16">
        <f>(E5/E8)*2/E9</f>
        <v>799.99199999999996</v>
      </c>
      <c r="F11" s="13"/>
      <c r="G11" s="13"/>
    </row>
    <row r="12" spans="1:10" ht="15" x14ac:dyDescent="0.25">
      <c r="A12" s="13"/>
      <c r="B12" s="17"/>
      <c r="C12" s="13"/>
      <c r="D12" s="14" t="s">
        <v>17</v>
      </c>
      <c r="E12" s="16">
        <f>E11/E10</f>
        <v>19.9998</v>
      </c>
      <c r="F12" s="13"/>
      <c r="G12" s="13"/>
    </row>
    <row r="13" spans="1:10" ht="15" x14ac:dyDescent="0.25">
      <c r="A13" s="13"/>
      <c r="B13" s="17"/>
      <c r="C13" s="13"/>
      <c r="D13" s="14" t="s">
        <v>53</v>
      </c>
      <c r="E13" s="16">
        <f>(E11*E9/2)*E8</f>
        <v>79.999200000000002</v>
      </c>
      <c r="F13" s="13"/>
      <c r="G13" s="13"/>
    </row>
    <row r="14" spans="1:10" ht="15" x14ac:dyDescent="0.25">
      <c r="C14" s="2"/>
      <c r="D14" s="2" t="s">
        <v>10</v>
      </c>
      <c r="E14" s="29">
        <v>1</v>
      </c>
    </row>
    <row r="15" spans="1:10" ht="15" x14ac:dyDescent="0.25">
      <c r="A15" s="13"/>
      <c r="B15" s="13"/>
      <c r="C15" s="13"/>
      <c r="D15" s="14" t="s">
        <v>18</v>
      </c>
      <c r="E15" s="16">
        <f>(E11*E9/2)*E14</f>
        <v>399.99599999999998</v>
      </c>
      <c r="F15" s="13"/>
      <c r="G15" s="2"/>
      <c r="H15" s="39"/>
    </row>
    <row r="16" spans="1:10" ht="15" x14ac:dyDescent="0.25">
      <c r="D16" s="2" t="s">
        <v>54</v>
      </c>
      <c r="E16" s="9">
        <f>E13/E12</f>
        <v>4</v>
      </c>
      <c r="G16" s="2"/>
      <c r="H16" s="39"/>
    </row>
    <row r="17" spans="1:18" ht="15" x14ac:dyDescent="0.25">
      <c r="D17" s="2" t="s">
        <v>55</v>
      </c>
      <c r="E17" s="9">
        <f>E15/E12</f>
        <v>20</v>
      </c>
    </row>
    <row r="18" spans="1:18" ht="15" x14ac:dyDescent="0.25">
      <c r="D18" s="2" t="s">
        <v>25</v>
      </c>
      <c r="E18" s="18"/>
      <c r="F18" s="10">
        <f>E16*F6</f>
        <v>600.00600006000059</v>
      </c>
      <c r="R18" s="25"/>
    </row>
    <row r="19" spans="1:18" s="25" customFormat="1" ht="15" x14ac:dyDescent="0.25">
      <c r="A19" s="20"/>
      <c r="B19" s="20"/>
      <c r="C19" s="20"/>
      <c r="D19" s="20"/>
      <c r="E19" s="22"/>
      <c r="F19" s="20"/>
      <c r="G19"/>
      <c r="H19">
        <f>7800/20</f>
        <v>390</v>
      </c>
      <c r="I19"/>
      <c r="K19"/>
      <c r="L19"/>
      <c r="M19" s="1"/>
      <c r="N19" s="1"/>
      <c r="O19" s="1"/>
      <c r="P19" s="1"/>
      <c r="Q19" s="1"/>
      <c r="R19"/>
    </row>
    <row r="20" spans="1:18" ht="15" x14ac:dyDescent="0.25">
      <c r="A20" t="s">
        <v>33</v>
      </c>
      <c r="E20" s="1"/>
      <c r="J20" s="40" t="s">
        <v>47</v>
      </c>
      <c r="K20" s="40" t="s">
        <v>48</v>
      </c>
    </row>
    <row r="21" spans="1:18" ht="15" x14ac:dyDescent="0.25">
      <c r="B21" s="3"/>
      <c r="C21" s="3"/>
      <c r="D21" s="4" t="s">
        <v>35</v>
      </c>
      <c r="E21" s="30">
        <v>10</v>
      </c>
      <c r="F21" s="5"/>
      <c r="I21" s="40"/>
      <c r="J21" s="40"/>
      <c r="K21" s="41"/>
      <c r="L21" s="40"/>
    </row>
    <row r="22" spans="1:18" ht="15" x14ac:dyDescent="0.25">
      <c r="D22" s="2" t="s">
        <v>8</v>
      </c>
      <c r="E22" s="7">
        <v>2</v>
      </c>
      <c r="I22" s="40"/>
      <c r="J22" s="40"/>
      <c r="K22" s="41"/>
      <c r="L22" s="40"/>
    </row>
    <row r="23" spans="1:18" ht="15" x14ac:dyDescent="0.25">
      <c r="B23" s="3"/>
      <c r="C23" s="3"/>
      <c r="D23" s="4" t="s">
        <v>9</v>
      </c>
      <c r="E23" s="7">
        <v>0.5</v>
      </c>
      <c r="I23" s="40"/>
      <c r="J23" s="40">
        <v>0.15000000000000002</v>
      </c>
      <c r="K23" s="41">
        <v>272.49272142201937</v>
      </c>
      <c r="L23" s="40"/>
    </row>
    <row r="24" spans="1:18" ht="15" x14ac:dyDescent="0.25">
      <c r="D24" s="2"/>
      <c r="E24" s="1"/>
      <c r="I24" s="40"/>
      <c r="J24" s="40">
        <v>0.2</v>
      </c>
      <c r="K24" s="41">
        <v>204.36954106651456</v>
      </c>
      <c r="L24" s="40"/>
    </row>
    <row r="25" spans="1:18" x14ac:dyDescent="0.3">
      <c r="D25" s="2" t="s">
        <v>21</v>
      </c>
      <c r="E25" s="31">
        <v>0.44</v>
      </c>
      <c r="F25" s="24" t="s">
        <v>23</v>
      </c>
      <c r="I25" s="40"/>
      <c r="J25" s="40">
        <v>0.25</v>
      </c>
      <c r="K25" s="41">
        <v>163.49563285321165</v>
      </c>
      <c r="L25" s="40"/>
    </row>
    <row r="26" spans="1:18" x14ac:dyDescent="0.3">
      <c r="D26" s="2" t="s">
        <v>22</v>
      </c>
      <c r="E26" s="31">
        <v>0.49</v>
      </c>
      <c r="F26" s="12">
        <f>(E26-E25)/E25</f>
        <v>0.1136363636363636</v>
      </c>
      <c r="H26">
        <f>30*816</f>
        <v>24480</v>
      </c>
      <c r="I26" s="40"/>
      <c r="J26" s="40">
        <v>0.30000000000000004</v>
      </c>
      <c r="K26" s="41">
        <v>136.24636071100969</v>
      </c>
      <c r="L26" s="40"/>
    </row>
    <row r="27" spans="1:18" x14ac:dyDescent="0.3">
      <c r="B27" s="3"/>
      <c r="C27" s="3"/>
      <c r="D27" s="4" t="s">
        <v>24</v>
      </c>
      <c r="E27" s="7">
        <v>0.4</v>
      </c>
      <c r="I27" s="40"/>
      <c r="J27" s="40">
        <v>0.35000000000000003</v>
      </c>
      <c r="K27" s="41">
        <v>116.78259489515118</v>
      </c>
      <c r="L27" s="40"/>
    </row>
    <row r="28" spans="1:18" x14ac:dyDescent="0.3">
      <c r="D28" s="2" t="s">
        <v>28</v>
      </c>
      <c r="E28" s="31">
        <v>2</v>
      </c>
      <c r="H28">
        <f>30*817/20</f>
        <v>1225.5</v>
      </c>
      <c r="I28" s="42"/>
      <c r="J28" s="40">
        <v>0.4</v>
      </c>
      <c r="K28" s="41">
        <v>102.18477053325728</v>
      </c>
      <c r="L28" s="40"/>
    </row>
    <row r="29" spans="1:18" x14ac:dyDescent="0.3">
      <c r="D29" s="2" t="s">
        <v>29</v>
      </c>
      <c r="E29" s="31">
        <v>4</v>
      </c>
      <c r="I29" s="40"/>
      <c r="J29" s="40">
        <v>0.45</v>
      </c>
      <c r="K29" s="41">
        <v>90.830907140673133</v>
      </c>
      <c r="L29" s="40"/>
    </row>
    <row r="30" spans="1:18" x14ac:dyDescent="0.3">
      <c r="B30" t="s">
        <v>32</v>
      </c>
      <c r="C30" s="6">
        <f>H65</f>
        <v>1.3624499824740259</v>
      </c>
      <c r="D30" s="2" t="s">
        <v>27</v>
      </c>
      <c r="E30" s="6">
        <f>C30</f>
        <v>1.3624499824740259</v>
      </c>
      <c r="H30">
        <f>E33*E30*F18</f>
        <v>7193.8078455413133</v>
      </c>
      <c r="I30" s="40"/>
      <c r="J30" s="40">
        <v>0.5</v>
      </c>
      <c r="K30" s="41">
        <v>81.747816426605823</v>
      </c>
      <c r="L30" s="40"/>
    </row>
    <row r="31" spans="1:18" x14ac:dyDescent="0.3">
      <c r="D31" s="2" t="s">
        <v>26</v>
      </c>
      <c r="E31" s="7">
        <v>0.6</v>
      </c>
      <c r="I31" s="40"/>
      <c r="J31" s="40">
        <v>0.55000000000000004</v>
      </c>
      <c r="K31" s="41">
        <v>74.316196751459842</v>
      </c>
      <c r="L31" s="40"/>
    </row>
    <row r="32" spans="1:18" x14ac:dyDescent="0.3">
      <c r="D32" s="2"/>
      <c r="E32" s="1" t="s">
        <v>37</v>
      </c>
      <c r="F32" s="1" t="s">
        <v>6</v>
      </c>
      <c r="I32" s="40"/>
      <c r="J32" s="40">
        <v>0.60000000000000009</v>
      </c>
      <c r="K32" s="41">
        <v>68.123180355504843</v>
      </c>
      <c r="L32" s="40"/>
    </row>
    <row r="33" spans="1:12" x14ac:dyDescent="0.3">
      <c r="D33" s="2" t="s">
        <v>34</v>
      </c>
      <c r="E33" s="9">
        <f>E22*E25*E21</f>
        <v>8.8000000000000007</v>
      </c>
      <c r="F33" s="9">
        <f>E22*E26*E21</f>
        <v>9.8000000000000007</v>
      </c>
      <c r="I33" s="40"/>
      <c r="J33" s="40">
        <v>0.65</v>
      </c>
      <c r="K33" s="41">
        <v>62.882935712773715</v>
      </c>
      <c r="L33" s="40"/>
    </row>
    <row r="34" spans="1:12" x14ac:dyDescent="0.3">
      <c r="D34" s="35" t="s">
        <v>42</v>
      </c>
      <c r="E34" s="9">
        <f>E23*E25*E21</f>
        <v>2.2000000000000002</v>
      </c>
      <c r="F34" s="9">
        <f>E23*E27*E21</f>
        <v>2</v>
      </c>
      <c r="G34" s="26" t="s">
        <v>23</v>
      </c>
      <c r="I34" s="40"/>
      <c r="J34" s="40">
        <v>0.70000000000000007</v>
      </c>
      <c r="K34" s="41">
        <v>58.391297447575589</v>
      </c>
      <c r="L34" s="40"/>
    </row>
    <row r="35" spans="1:12" x14ac:dyDescent="0.3">
      <c r="D35" s="2" t="s">
        <v>36</v>
      </c>
      <c r="E35" s="27">
        <f>(E33+E34)/(E28+E29)</f>
        <v>1.8333333333333333</v>
      </c>
      <c r="F35" s="27">
        <f>(F33+F34)/(E28+E29)</f>
        <v>1.9666666666666668</v>
      </c>
      <c r="G35" s="23">
        <f>(F35-E35)/E35</f>
        <v>7.2727272727272835E-2</v>
      </c>
      <c r="I35" s="40"/>
      <c r="J35" s="40">
        <v>0.75</v>
      </c>
      <c r="K35" s="41">
        <v>54.498544284403891</v>
      </c>
      <c r="L35" s="40"/>
    </row>
    <row r="36" spans="1:12" x14ac:dyDescent="0.3">
      <c r="D36" s="2" t="s">
        <v>38</v>
      </c>
      <c r="E36" s="36">
        <f>(F33-E33)*E30*F18/E17</f>
        <v>40.873908213302911</v>
      </c>
      <c r="I36" s="40"/>
      <c r="J36" s="40">
        <v>0.8</v>
      </c>
      <c r="K36" s="41">
        <v>51.092385266628639</v>
      </c>
      <c r="L36" s="40"/>
    </row>
    <row r="37" spans="1:12" x14ac:dyDescent="0.3">
      <c r="D37" s="2"/>
      <c r="E37" s="28"/>
      <c r="G37" t="s">
        <v>46</v>
      </c>
      <c r="I37" s="40"/>
      <c r="J37" s="40">
        <v>0.85000000000000009</v>
      </c>
      <c r="K37" s="41">
        <v>48.086950839179899</v>
      </c>
      <c r="L37" s="40"/>
    </row>
    <row r="38" spans="1:12" x14ac:dyDescent="0.3">
      <c r="D38" s="2" t="s">
        <v>56</v>
      </c>
      <c r="E38" s="28">
        <f>E33*F18*E30</f>
        <v>7193.8078455413133</v>
      </c>
      <c r="F38" s="37">
        <f>F33*E30*F18</f>
        <v>8011.2860098073706</v>
      </c>
      <c r="G38" s="34">
        <f>F38-E38</f>
        <v>817.47816426605732</v>
      </c>
      <c r="I38" s="40"/>
      <c r="J38" s="40">
        <v>0.9</v>
      </c>
      <c r="K38" s="41">
        <v>45.415453570336567</v>
      </c>
      <c r="L38" s="40"/>
    </row>
    <row r="39" spans="1:12" x14ac:dyDescent="0.3">
      <c r="D39" s="38" t="s">
        <v>57</v>
      </c>
      <c r="E39" s="37">
        <f>E33*E31*F6*0.33</f>
        <v>261.36261362613629</v>
      </c>
      <c r="F39" s="37">
        <f>E31*F33*0.33*F6</f>
        <v>291.06291062910628</v>
      </c>
      <c r="G39" s="34">
        <f>G38/E17</f>
        <v>40.873908213302869</v>
      </c>
      <c r="I39" s="40"/>
      <c r="J39" s="40">
        <v>0.95000000000000007</v>
      </c>
      <c r="K39" s="41">
        <v>43.025166540318857</v>
      </c>
      <c r="L39" s="40"/>
    </row>
    <row r="40" spans="1:12" x14ac:dyDescent="0.3">
      <c r="A40" s="3"/>
      <c r="B40" s="3"/>
      <c r="C40" s="3"/>
      <c r="D40" s="3"/>
      <c r="E40" s="3"/>
      <c r="F40" s="3"/>
      <c r="G40" s="3"/>
      <c r="H40" s="3"/>
      <c r="I40" s="43"/>
      <c r="J40" s="43">
        <v>1</v>
      </c>
      <c r="K40" s="41">
        <v>40.873908213302911</v>
      </c>
      <c r="L40" s="40"/>
    </row>
    <row r="41" spans="1:12" x14ac:dyDescent="0.3">
      <c r="C41" t="s">
        <v>30</v>
      </c>
      <c r="E41">
        <f>(E28+E29)/2</f>
        <v>3</v>
      </c>
      <c r="I41" s="40"/>
      <c r="J41" s="40"/>
      <c r="K41" s="40"/>
      <c r="L41" s="40"/>
    </row>
    <row r="42" spans="1:12" x14ac:dyDescent="0.3">
      <c r="C42" t="s">
        <v>31</v>
      </c>
      <c r="E42">
        <f>(1/E3)/2+1</f>
        <v>2.5000150001500012</v>
      </c>
      <c r="I42" s="40"/>
      <c r="J42" s="40"/>
      <c r="K42" s="40"/>
      <c r="L42" s="40"/>
    </row>
    <row r="43" spans="1:12" x14ac:dyDescent="0.3">
      <c r="D43">
        <v>7.0000000000000007E-2</v>
      </c>
      <c r="I43" s="40"/>
      <c r="J43" s="40"/>
      <c r="K43" s="40"/>
      <c r="L43" s="40"/>
    </row>
    <row r="44" spans="1:12" x14ac:dyDescent="0.3">
      <c r="B44">
        <v>1</v>
      </c>
      <c r="C44">
        <v>1</v>
      </c>
      <c r="D44">
        <v>1</v>
      </c>
      <c r="E44">
        <f>IF(B44&lt;E41,0,0.5)</f>
        <v>0</v>
      </c>
      <c r="F44">
        <f>IF(B44&lt;($E$41+$E$42),0,0.5)</f>
        <v>0</v>
      </c>
      <c r="G44">
        <f>1/($E$28+$E$29)</f>
        <v>0.16666666666666666</v>
      </c>
      <c r="H44">
        <f>G44*(E44+F44)*D44</f>
        <v>0</v>
      </c>
      <c r="I44" s="40"/>
      <c r="J44" s="40"/>
      <c r="K44" s="40"/>
      <c r="L44" s="40"/>
    </row>
    <row r="45" spans="1:12" x14ac:dyDescent="0.3">
      <c r="B45">
        <v>2</v>
      </c>
      <c r="C45">
        <v>1</v>
      </c>
      <c r="D45">
        <f>D44/(1+$D$43)</f>
        <v>0.93457943925233644</v>
      </c>
      <c r="E45">
        <f t="shared" ref="E45:E63" si="0">IF(B45&lt;E42,0,0.5)</f>
        <v>0</v>
      </c>
      <c r="F45">
        <f t="shared" ref="F45:F63" si="1">IF(B45&lt;($E$41+$E$42),0,0.5)</f>
        <v>0</v>
      </c>
      <c r="G45">
        <f t="shared" ref="G45:G63" si="2">1/($E$28+$E$29)</f>
        <v>0.16666666666666666</v>
      </c>
      <c r="H45">
        <f t="shared" ref="H45:H63" si="3">G45*(E45+F45)*D45</f>
        <v>0</v>
      </c>
    </row>
    <row r="46" spans="1:12" x14ac:dyDescent="0.3">
      <c r="B46">
        <v>3</v>
      </c>
      <c r="C46">
        <v>1</v>
      </c>
      <c r="D46">
        <f t="shared" ref="D46:D63" si="4">D45/(1+$D$43)</f>
        <v>0.87343872827321156</v>
      </c>
      <c r="E46">
        <f t="shared" si="0"/>
        <v>0.5</v>
      </c>
      <c r="F46">
        <f t="shared" si="1"/>
        <v>0</v>
      </c>
      <c r="G46">
        <f t="shared" si="2"/>
        <v>0.16666666666666666</v>
      </c>
      <c r="H46">
        <f t="shared" si="3"/>
        <v>7.2786560689434288E-2</v>
      </c>
    </row>
    <row r="47" spans="1:12" x14ac:dyDescent="0.3">
      <c r="B47">
        <v>4</v>
      </c>
      <c r="C47">
        <v>1</v>
      </c>
      <c r="D47">
        <f t="shared" si="4"/>
        <v>0.81629787689085187</v>
      </c>
      <c r="E47">
        <f t="shared" si="0"/>
        <v>0.5</v>
      </c>
      <c r="F47">
        <f t="shared" si="1"/>
        <v>0</v>
      </c>
      <c r="G47">
        <f t="shared" si="2"/>
        <v>0.16666666666666666</v>
      </c>
      <c r="H47">
        <f t="shared" si="3"/>
        <v>6.8024823074237656E-2</v>
      </c>
    </row>
    <row r="48" spans="1:12" x14ac:dyDescent="0.3">
      <c r="B48">
        <v>5</v>
      </c>
      <c r="C48">
        <v>1</v>
      </c>
      <c r="D48">
        <f t="shared" si="4"/>
        <v>0.76289521204752508</v>
      </c>
      <c r="E48">
        <f t="shared" si="0"/>
        <v>0.5</v>
      </c>
      <c r="F48">
        <f t="shared" si="1"/>
        <v>0</v>
      </c>
      <c r="G48">
        <f t="shared" si="2"/>
        <v>0.16666666666666666</v>
      </c>
      <c r="H48">
        <f t="shared" si="3"/>
        <v>6.3574601003960424E-2</v>
      </c>
    </row>
    <row r="49" spans="2:8" x14ac:dyDescent="0.3">
      <c r="B49">
        <v>6</v>
      </c>
      <c r="C49">
        <v>1</v>
      </c>
      <c r="D49">
        <f t="shared" si="4"/>
        <v>0.71298617948366827</v>
      </c>
      <c r="E49">
        <f t="shared" si="0"/>
        <v>0.5</v>
      </c>
      <c r="F49">
        <f t="shared" si="1"/>
        <v>0.5</v>
      </c>
      <c r="G49">
        <f t="shared" si="2"/>
        <v>0.16666666666666666</v>
      </c>
      <c r="H49">
        <f t="shared" si="3"/>
        <v>0.1188310299139447</v>
      </c>
    </row>
    <row r="50" spans="2:8" x14ac:dyDescent="0.3">
      <c r="B50">
        <v>7</v>
      </c>
      <c r="C50">
        <v>1</v>
      </c>
      <c r="D50">
        <f t="shared" si="4"/>
        <v>0.66634222381651231</v>
      </c>
      <c r="E50">
        <f t="shared" si="0"/>
        <v>0.5</v>
      </c>
      <c r="F50">
        <f t="shared" si="1"/>
        <v>0.5</v>
      </c>
      <c r="G50">
        <f t="shared" si="2"/>
        <v>0.16666666666666666</v>
      </c>
      <c r="H50">
        <f t="shared" si="3"/>
        <v>0.11105703730275204</v>
      </c>
    </row>
    <row r="51" spans="2:8" x14ac:dyDescent="0.3">
      <c r="B51">
        <v>8</v>
      </c>
      <c r="C51">
        <v>1</v>
      </c>
      <c r="D51">
        <f t="shared" si="4"/>
        <v>0.62274974188459087</v>
      </c>
      <c r="E51">
        <f t="shared" si="0"/>
        <v>0.5</v>
      </c>
      <c r="F51">
        <f t="shared" si="1"/>
        <v>0.5</v>
      </c>
      <c r="G51">
        <f t="shared" si="2"/>
        <v>0.16666666666666666</v>
      </c>
      <c r="H51">
        <f t="shared" si="3"/>
        <v>0.1037916236474318</v>
      </c>
    </row>
    <row r="52" spans="2:8" x14ac:dyDescent="0.3">
      <c r="B52">
        <v>9</v>
      </c>
      <c r="C52">
        <v>1</v>
      </c>
      <c r="D52">
        <f t="shared" si="4"/>
        <v>0.58200910456503818</v>
      </c>
      <c r="E52">
        <f t="shared" si="0"/>
        <v>0.5</v>
      </c>
      <c r="F52">
        <f t="shared" si="1"/>
        <v>0.5</v>
      </c>
      <c r="G52">
        <f t="shared" si="2"/>
        <v>0.16666666666666666</v>
      </c>
      <c r="H52">
        <f t="shared" si="3"/>
        <v>9.7001517427506359E-2</v>
      </c>
    </row>
    <row r="53" spans="2:8" x14ac:dyDescent="0.3">
      <c r="B53">
        <v>10</v>
      </c>
      <c r="C53">
        <v>1</v>
      </c>
      <c r="D53">
        <f t="shared" si="4"/>
        <v>0.54393374258414784</v>
      </c>
      <c r="E53">
        <f t="shared" si="0"/>
        <v>0.5</v>
      </c>
      <c r="F53">
        <f t="shared" si="1"/>
        <v>0.5</v>
      </c>
      <c r="G53">
        <f t="shared" si="2"/>
        <v>0.16666666666666666</v>
      </c>
      <c r="H53">
        <f t="shared" si="3"/>
        <v>9.065562376402464E-2</v>
      </c>
    </row>
    <row r="54" spans="2:8" x14ac:dyDescent="0.3">
      <c r="B54">
        <v>11</v>
      </c>
      <c r="C54">
        <v>1</v>
      </c>
      <c r="D54">
        <f t="shared" si="4"/>
        <v>0.50834929213471758</v>
      </c>
      <c r="E54">
        <f t="shared" si="0"/>
        <v>0.5</v>
      </c>
      <c r="F54">
        <f t="shared" si="1"/>
        <v>0.5</v>
      </c>
      <c r="G54">
        <f t="shared" si="2"/>
        <v>0.16666666666666666</v>
      </c>
      <c r="H54">
        <f t="shared" si="3"/>
        <v>8.472488202245293E-2</v>
      </c>
    </row>
    <row r="55" spans="2:8" x14ac:dyDescent="0.3">
      <c r="B55">
        <v>12</v>
      </c>
      <c r="C55">
        <v>1</v>
      </c>
      <c r="D55">
        <f t="shared" si="4"/>
        <v>0.4750927963875865</v>
      </c>
      <c r="E55">
        <f t="shared" si="0"/>
        <v>0.5</v>
      </c>
      <c r="F55">
        <f t="shared" si="1"/>
        <v>0.5</v>
      </c>
      <c r="G55">
        <f t="shared" si="2"/>
        <v>0.16666666666666666</v>
      </c>
      <c r="H55">
        <f t="shared" si="3"/>
        <v>7.9182132731264412E-2</v>
      </c>
    </row>
    <row r="56" spans="2:8" x14ac:dyDescent="0.3">
      <c r="B56">
        <v>13</v>
      </c>
      <c r="C56">
        <v>1</v>
      </c>
      <c r="D56">
        <f t="shared" si="4"/>
        <v>0.444011959240735</v>
      </c>
      <c r="E56">
        <f t="shared" si="0"/>
        <v>0.5</v>
      </c>
      <c r="F56">
        <f t="shared" si="1"/>
        <v>0.5</v>
      </c>
      <c r="G56">
        <f t="shared" si="2"/>
        <v>0.16666666666666666</v>
      </c>
      <c r="H56">
        <f t="shared" si="3"/>
        <v>7.4001993206789157E-2</v>
      </c>
    </row>
    <row r="57" spans="2:8" x14ac:dyDescent="0.3">
      <c r="B57">
        <v>14</v>
      </c>
      <c r="C57">
        <v>1</v>
      </c>
      <c r="D57">
        <f t="shared" si="4"/>
        <v>0.41496444788853737</v>
      </c>
      <c r="E57">
        <f t="shared" si="0"/>
        <v>0.5</v>
      </c>
      <c r="F57">
        <f t="shared" si="1"/>
        <v>0.5</v>
      </c>
      <c r="G57">
        <f t="shared" si="2"/>
        <v>0.16666666666666666</v>
      </c>
      <c r="H57">
        <f t="shared" si="3"/>
        <v>6.9160741314756219E-2</v>
      </c>
    </row>
    <row r="58" spans="2:8" x14ac:dyDescent="0.3">
      <c r="B58">
        <v>15</v>
      </c>
      <c r="C58">
        <v>1</v>
      </c>
      <c r="D58">
        <f t="shared" si="4"/>
        <v>0.38781724101732462</v>
      </c>
      <c r="E58">
        <f t="shared" si="0"/>
        <v>0.5</v>
      </c>
      <c r="F58">
        <f t="shared" si="1"/>
        <v>0.5</v>
      </c>
      <c r="G58">
        <f t="shared" si="2"/>
        <v>0.16666666666666666</v>
      </c>
      <c r="H58">
        <f t="shared" si="3"/>
        <v>6.4636206836220761E-2</v>
      </c>
    </row>
    <row r="59" spans="2:8" x14ac:dyDescent="0.3">
      <c r="B59">
        <v>16</v>
      </c>
      <c r="C59">
        <v>1</v>
      </c>
      <c r="D59">
        <f t="shared" si="4"/>
        <v>0.36244601964235945</v>
      </c>
      <c r="E59">
        <f t="shared" si="0"/>
        <v>0.5</v>
      </c>
      <c r="F59">
        <f t="shared" si="1"/>
        <v>0.5</v>
      </c>
      <c r="G59">
        <f t="shared" si="2"/>
        <v>0.16666666666666666</v>
      </c>
      <c r="H59">
        <f t="shared" si="3"/>
        <v>6.040766994039324E-2</v>
      </c>
    </row>
    <row r="60" spans="2:8" x14ac:dyDescent="0.3">
      <c r="B60">
        <v>17</v>
      </c>
      <c r="C60">
        <v>1</v>
      </c>
      <c r="D60">
        <f t="shared" si="4"/>
        <v>0.33873459779659759</v>
      </c>
      <c r="E60">
        <f t="shared" si="0"/>
        <v>0.5</v>
      </c>
      <c r="F60">
        <f t="shared" si="1"/>
        <v>0.5</v>
      </c>
      <c r="G60">
        <f t="shared" si="2"/>
        <v>0.16666666666666666</v>
      </c>
      <c r="H60">
        <f t="shared" si="3"/>
        <v>5.6455766299432927E-2</v>
      </c>
    </row>
    <row r="61" spans="2:8" x14ac:dyDescent="0.3">
      <c r="B61">
        <v>18</v>
      </c>
      <c r="C61">
        <v>1</v>
      </c>
      <c r="D61">
        <f t="shared" si="4"/>
        <v>0.3165743904641099</v>
      </c>
      <c r="E61">
        <f t="shared" si="0"/>
        <v>0.5</v>
      </c>
      <c r="F61">
        <f t="shared" si="1"/>
        <v>0.5</v>
      </c>
      <c r="G61">
        <f t="shared" si="2"/>
        <v>0.16666666666666666</v>
      </c>
      <c r="H61">
        <f t="shared" si="3"/>
        <v>5.2762398410684981E-2</v>
      </c>
    </row>
    <row r="62" spans="2:8" x14ac:dyDescent="0.3">
      <c r="B62">
        <v>19</v>
      </c>
      <c r="C62">
        <v>1</v>
      </c>
      <c r="D62">
        <f t="shared" si="4"/>
        <v>0.29586391632159803</v>
      </c>
      <c r="E62">
        <f t="shared" si="0"/>
        <v>0.5</v>
      </c>
      <c r="F62">
        <f t="shared" si="1"/>
        <v>0.5</v>
      </c>
      <c r="G62">
        <f t="shared" si="2"/>
        <v>0.16666666666666666</v>
      </c>
      <c r="H62">
        <f t="shared" si="3"/>
        <v>4.9310652720266336E-2</v>
      </c>
    </row>
    <row r="63" spans="2:8" x14ac:dyDescent="0.3">
      <c r="B63">
        <v>20</v>
      </c>
      <c r="C63">
        <v>1</v>
      </c>
      <c r="D63">
        <f t="shared" si="4"/>
        <v>0.27650833301083927</v>
      </c>
      <c r="E63">
        <f t="shared" si="0"/>
        <v>0.5</v>
      </c>
      <c r="F63">
        <f t="shared" si="1"/>
        <v>0.5</v>
      </c>
      <c r="G63">
        <f t="shared" si="2"/>
        <v>0.16666666666666666</v>
      </c>
      <c r="H63">
        <f t="shared" si="3"/>
        <v>4.6084722168473209E-2</v>
      </c>
    </row>
    <row r="65" spans="8:8" x14ac:dyDescent="0.3">
      <c r="H65">
        <f>SUM(H44:H63)</f>
        <v>1.3624499824740259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H18"/>
  <sheetViews>
    <sheetView workbookViewId="0">
      <selection activeCell="H18" sqref="C4:H18"/>
    </sheetView>
  </sheetViews>
  <sheetFormatPr defaultRowHeight="14.4" x14ac:dyDescent="0.3"/>
  <sheetData>
    <row r="4" spans="4:8" ht="15" x14ac:dyDescent="0.25">
      <c r="F4" s="2" t="s">
        <v>49</v>
      </c>
      <c r="G4" s="8">
        <v>12000</v>
      </c>
    </row>
    <row r="5" spans="4:8" ht="15" x14ac:dyDescent="0.25">
      <c r="F5" s="2" t="s">
        <v>3</v>
      </c>
      <c r="G5" s="7">
        <v>50</v>
      </c>
    </row>
    <row r="6" spans="4:8" ht="15" x14ac:dyDescent="0.25">
      <c r="F6" s="2" t="s">
        <v>4</v>
      </c>
      <c r="G6" s="7">
        <v>0.33333000000000002</v>
      </c>
    </row>
    <row r="7" spans="4:8" ht="15" x14ac:dyDescent="0.25">
      <c r="F7" s="2" t="s">
        <v>5</v>
      </c>
      <c r="G7" s="7">
        <v>1</v>
      </c>
    </row>
    <row r="8" spans="4:8" ht="15" x14ac:dyDescent="0.25">
      <c r="D8" s="13"/>
      <c r="E8" s="13"/>
      <c r="F8" s="14" t="s">
        <v>50</v>
      </c>
      <c r="G8" s="16">
        <f>G4*G6/G5</f>
        <v>79.999200000000002</v>
      </c>
      <c r="H8" s="13"/>
    </row>
    <row r="9" spans="4:8" ht="15" x14ac:dyDescent="0.25">
      <c r="D9" s="3"/>
      <c r="E9" s="3"/>
      <c r="F9" s="4" t="s">
        <v>2</v>
      </c>
      <c r="G9" s="19"/>
      <c r="H9" s="11">
        <f>(G5/G6)*G7</f>
        <v>150.00150001500015</v>
      </c>
    </row>
    <row r="10" spans="4:8" x14ac:dyDescent="0.3">
      <c r="D10" s="20"/>
      <c r="E10" s="20"/>
      <c r="F10" s="21"/>
      <c r="G10" s="20"/>
      <c r="H10" s="22"/>
    </row>
    <row r="11" spans="4:8" x14ac:dyDescent="0.3">
      <c r="F11" s="2" t="s">
        <v>51</v>
      </c>
      <c r="G11" s="29">
        <v>0.2</v>
      </c>
    </row>
    <row r="12" spans="4:8" x14ac:dyDescent="0.3">
      <c r="F12" s="2" t="s">
        <v>16</v>
      </c>
      <c r="G12" s="7">
        <v>1</v>
      </c>
    </row>
    <row r="13" spans="4:8" x14ac:dyDescent="0.3">
      <c r="D13" s="13"/>
      <c r="E13" s="13"/>
      <c r="F13" s="14" t="s">
        <v>15</v>
      </c>
      <c r="G13" s="15">
        <v>40</v>
      </c>
      <c r="H13" s="13"/>
    </row>
    <row r="14" spans="4:8" x14ac:dyDescent="0.3">
      <c r="D14" s="13"/>
      <c r="E14" s="13"/>
      <c r="F14" s="14" t="s">
        <v>52</v>
      </c>
      <c r="G14" s="16">
        <f>(G8/G11)*2/G12</f>
        <v>799.99199999999996</v>
      </c>
      <c r="H14" s="13"/>
    </row>
    <row r="15" spans="4:8" x14ac:dyDescent="0.3">
      <c r="D15" s="17"/>
      <c r="E15" s="13"/>
      <c r="F15" s="14" t="s">
        <v>17</v>
      </c>
      <c r="G15" s="16">
        <f>G14/G13</f>
        <v>19.9998</v>
      </c>
      <c r="H15" s="13"/>
    </row>
    <row r="16" spans="4:8" x14ac:dyDescent="0.3">
      <c r="D16" s="17"/>
      <c r="E16" s="13"/>
      <c r="F16" s="14" t="s">
        <v>53</v>
      </c>
      <c r="G16" s="16">
        <f>(G14*G12/2)*G11</f>
        <v>79.999200000000002</v>
      </c>
      <c r="H16" s="13"/>
    </row>
    <row r="17" spans="6:8" x14ac:dyDescent="0.3">
      <c r="F17" s="2" t="s">
        <v>54</v>
      </c>
      <c r="G17" s="9">
        <f>G16/G15</f>
        <v>4</v>
      </c>
    </row>
    <row r="18" spans="6:8" x14ac:dyDescent="0.3">
      <c r="F18" s="2" t="s">
        <v>25</v>
      </c>
      <c r="G18" s="18"/>
      <c r="H18" s="10">
        <f>G17*H9</f>
        <v>600.00600006000059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 model</vt:lpstr>
      <vt:lpstr>Sheet1</vt:lpstr>
      <vt:lpstr>cows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</dc:creator>
  <cp:lastModifiedBy>vanderwerf</cp:lastModifiedBy>
  <dcterms:created xsi:type="dcterms:W3CDTF">2011-04-14T23:33:55Z</dcterms:created>
  <dcterms:modified xsi:type="dcterms:W3CDTF">2015-05-22T04:16:00Z</dcterms:modified>
</cp:coreProperties>
</file>