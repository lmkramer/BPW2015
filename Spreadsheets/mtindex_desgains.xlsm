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36" yWindow="312" windowWidth="7548" windowHeight="4776" activeTab="1"/>
  </bookViews>
  <sheets>
    <sheet name="6 traits" sheetId="5" r:id="rId1"/>
    <sheet name="2 traits" sheetId="1" r:id="rId2"/>
  </sheets>
  <definedNames>
    <definedName name="nt" localSheetId="0">'6 traits'!$A$3</definedName>
    <definedName name="nt">'2 traits'!$A$3</definedName>
  </definedNames>
  <calcPr calcId="145621"/>
</workbook>
</file>

<file path=xl/calcChain.xml><?xml version="1.0" encoding="utf-8"?>
<calcChain xmlns="http://schemas.openxmlformats.org/spreadsheetml/2006/main">
  <c r="A19" i="1" l="1"/>
  <c r="A15" i="1"/>
  <c r="A16" i="1"/>
  <c r="A17" i="1"/>
  <c r="A18" i="1" s="1"/>
  <c r="A14" i="1"/>
  <c r="B27" i="1"/>
  <c r="A27" i="1"/>
  <c r="S30" i="5"/>
  <c r="E30" i="5"/>
  <c r="B30" i="5"/>
  <c r="S29" i="5"/>
  <c r="E29" i="5"/>
  <c r="C29" i="5"/>
  <c r="B29" i="5"/>
  <c r="A29" i="5"/>
  <c r="S28" i="5"/>
  <c r="E28" i="5"/>
  <c r="B28" i="5"/>
  <c r="S27" i="5"/>
  <c r="E27" i="5"/>
  <c r="B27" i="5"/>
  <c r="S26" i="5"/>
  <c r="S32" i="5"/>
  <c r="E26" i="5"/>
  <c r="B26" i="5"/>
  <c r="S25" i="5"/>
  <c r="E25" i="5"/>
  <c r="C25" i="5"/>
  <c r="B25" i="5"/>
  <c r="A25" i="5"/>
  <c r="B19" i="5"/>
  <c r="B20" i="5"/>
  <c r="A19" i="5"/>
  <c r="B18" i="5"/>
  <c r="A18" i="5"/>
  <c r="B17" i="5"/>
  <c r="A17" i="5"/>
  <c r="B16" i="5"/>
  <c r="A16" i="5"/>
  <c r="B15" i="5"/>
  <c r="A15" i="5"/>
  <c r="B14" i="5"/>
  <c r="A14" i="5"/>
  <c r="H13" i="5"/>
  <c r="G13" i="5"/>
  <c r="F13" i="5"/>
  <c r="E13" i="5"/>
  <c r="D13" i="5"/>
  <c r="C13" i="5"/>
  <c r="A11" i="5"/>
  <c r="W10" i="5"/>
  <c r="X10" i="5"/>
  <c r="Y10" i="5"/>
  <c r="Z10" i="5"/>
  <c r="J10" i="5"/>
  <c r="I10" i="5"/>
  <c r="A10" i="5"/>
  <c r="I9" i="5"/>
  <c r="J9" i="5"/>
  <c r="A9" i="5"/>
  <c r="C28" i="5"/>
  <c r="A8" i="5"/>
  <c r="C27" i="5"/>
  <c r="A7" i="5"/>
  <c r="A26" i="5"/>
  <c r="J6" i="5"/>
  <c r="I6" i="5"/>
  <c r="A6" i="5"/>
  <c r="S26" i="1"/>
  <c r="S27" i="1"/>
  <c r="S28" i="1"/>
  <c r="S29" i="1"/>
  <c r="S30" i="1"/>
  <c r="S25" i="1"/>
  <c r="B14" i="1"/>
  <c r="B15" i="1"/>
  <c r="B16" i="1"/>
  <c r="B17" i="1"/>
  <c r="B18" i="1"/>
  <c r="B19" i="1"/>
  <c r="B20" i="1"/>
  <c r="A6" i="1"/>
  <c r="A25" i="1"/>
  <c r="A7" i="1"/>
  <c r="I7" i="1"/>
  <c r="J7" i="1" s="1"/>
  <c r="C13" i="1"/>
  <c r="D13" i="1"/>
  <c r="E13" i="1"/>
  <c r="F13" i="1"/>
  <c r="G13" i="1"/>
  <c r="H13" i="1"/>
  <c r="E26" i="1"/>
  <c r="E25" i="1"/>
  <c r="B26" i="1"/>
  <c r="B25" i="1"/>
  <c r="W10" i="1"/>
  <c r="X10" i="1"/>
  <c r="Y10" i="1"/>
  <c r="Z10" i="1"/>
  <c r="A8" i="1"/>
  <c r="E27" i="1"/>
  <c r="I8" i="5"/>
  <c r="J8" i="5"/>
  <c r="C26" i="5"/>
  <c r="A28" i="5"/>
  <c r="A30" i="5"/>
  <c r="A27" i="5"/>
  <c r="I7" i="5"/>
  <c r="I11" i="5"/>
  <c r="J11" i="5"/>
  <c r="C30" i="5"/>
  <c r="J7" i="5"/>
  <c r="I6" i="1"/>
  <c r="J6" i="1" s="1"/>
  <c r="A26" i="1"/>
  <c r="C25" i="1"/>
  <c r="C26" i="1"/>
  <c r="E28" i="1"/>
  <c r="A9" i="1"/>
  <c r="B28" i="1"/>
  <c r="C27" i="1"/>
  <c r="C28" i="1"/>
  <c r="E29" i="1"/>
  <c r="A10" i="1"/>
  <c r="B29" i="1"/>
  <c r="A28" i="1"/>
  <c r="E30" i="1"/>
  <c r="C29" i="1"/>
  <c r="A29" i="1"/>
  <c r="A11" i="1"/>
  <c r="B30" i="1"/>
  <c r="A30" i="1"/>
  <c r="C30" i="1"/>
  <c r="S32" i="1" l="1"/>
</calcChain>
</file>

<file path=xl/sharedStrings.xml><?xml version="1.0" encoding="utf-8"?>
<sst xmlns="http://schemas.openxmlformats.org/spreadsheetml/2006/main" count="175" uniqueCount="67">
  <si>
    <t>trait</t>
  </si>
  <si>
    <t>Correlation structure</t>
  </si>
  <si>
    <t>Stand. Dev</t>
  </si>
  <si>
    <t>Name</t>
  </si>
  <si>
    <t xml:space="preserve">Economic  </t>
  </si>
  <si>
    <t xml:space="preserve">Phenotypic  </t>
  </si>
  <si>
    <t>Response</t>
  </si>
  <si>
    <t>Units</t>
  </si>
  <si>
    <t>Accuracy of Index</t>
  </si>
  <si>
    <t>Trait</t>
  </si>
  <si>
    <t>SD Index</t>
  </si>
  <si>
    <t>own</t>
  </si>
  <si>
    <t>sire</t>
  </si>
  <si>
    <t>dam</t>
  </si>
  <si>
    <t>full sibs</t>
  </si>
  <si>
    <t>half sibs</t>
  </si>
  <si>
    <t>progeny</t>
  </si>
  <si>
    <t>fulls sibs</t>
  </si>
  <si>
    <t>c2 among</t>
  </si>
  <si>
    <t>-</t>
  </si>
  <si>
    <t>Parameters</t>
  </si>
  <si>
    <t>light blue cells</t>
  </si>
  <si>
    <t>MT-EBV</t>
  </si>
  <si>
    <t>ST-EBV</t>
  </si>
  <si>
    <t>Index weights</t>
  </si>
  <si>
    <t>Correlations</t>
  </si>
  <si>
    <t>Number of records</t>
  </si>
  <si>
    <t xml:space="preserve">Nr of traits  </t>
  </si>
  <si>
    <t>Results</t>
  </si>
  <si>
    <t>Genetic</t>
  </si>
  <si>
    <t>ability</t>
  </si>
  <si>
    <t xml:space="preserve">         Accuracy</t>
  </si>
  <si>
    <t>Repeat</t>
  </si>
  <si>
    <t>Herit</t>
  </si>
  <si>
    <t xml:space="preserve"> value </t>
  </si>
  <si>
    <t>Genetic standard deviation</t>
  </si>
  <si>
    <t>Input</t>
  </si>
  <si>
    <t>Enter data only in</t>
  </si>
  <si>
    <t>Physical</t>
  </si>
  <si>
    <t>Dollar value</t>
  </si>
  <si>
    <t>SD of breeding objective</t>
  </si>
  <si>
    <t xml:space="preserve">  </t>
  </si>
  <si>
    <t xml:space="preserve"> Genetic Covariance matrix as given (correlations below diagonal)</t>
  </si>
  <si>
    <t xml:space="preserve"> Residual Covariance matrix as given (correlations below diagonal) </t>
  </si>
  <si>
    <t xml:space="preserve"> </t>
  </si>
  <si>
    <t xml:space="preserve"> Residual Covariance matrix POSITIVE DEFINITE </t>
  </si>
  <si>
    <t xml:space="preserve"> Genetic Covariance matrix POSITIVE DEFINITE </t>
  </si>
  <si>
    <t>ga gens.</t>
  </si>
  <si>
    <t>desired</t>
  </si>
  <si>
    <t>gains</t>
  </si>
  <si>
    <t>maxmum</t>
  </si>
  <si>
    <t>gain (ST)</t>
  </si>
  <si>
    <t xml:space="preserve">implicit </t>
  </si>
  <si>
    <t>criterion</t>
  </si>
  <si>
    <t>at gen'tion</t>
  </si>
  <si>
    <t>obtained</t>
  </si>
  <si>
    <t>econ. Val's</t>
  </si>
  <si>
    <t>awt</t>
  </si>
  <si>
    <t>ycfw</t>
  </si>
  <si>
    <t>yfd</t>
  </si>
  <si>
    <t>yss</t>
  </si>
  <si>
    <t>nlw</t>
  </si>
  <si>
    <t>ywt</t>
  </si>
  <si>
    <t>$Value of gain</t>
  </si>
  <si>
    <t>weight</t>
  </si>
  <si>
    <t>feed intake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</si>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</sst>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73" formatCode="0.000"/>
    <numFmt numFmtId="175" formatCode="0.00000"/>
    <numFmt numFmtId="176" formatCode="0.0"/>
  </numFmts>
  <fonts count="22" x14ac:knownFonts="1">
    <font>
      <sz val="10"/>
      <name val="Arial"/>
    </font>
    <font>
      <sz val="10"/>
      <name val="Arial"/>
    </font>
    <font>
      <sz val="10"/>
      <name val="Times New Roman"/>
      <family val="1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name val="Times New Roman"/>
      <family val="1"/>
    </font>
    <font>
      <b/>
      <sz val="10"/>
      <color indexed="15"/>
      <name val="Arial"/>
      <family val="2"/>
    </font>
    <font>
      <sz val="9"/>
      <name val="Arial"/>
      <family val="2"/>
    </font>
    <font>
      <b/>
      <sz val="8"/>
      <color indexed="15"/>
      <name val="Arial"/>
      <family val="2"/>
    </font>
    <font>
      <sz val="12"/>
      <name val="Arial"/>
      <family val="2"/>
    </font>
    <font>
      <sz val="10"/>
      <color indexed="15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0"/>
      <color indexed="41"/>
      <name val="Arial"/>
      <family val="2"/>
    </font>
    <font>
      <b/>
      <sz val="11"/>
      <name val="Arial"/>
      <family val="2"/>
    </font>
    <font>
      <sz val="14"/>
      <color indexed="41"/>
      <name val="Arial"/>
      <family val="2"/>
    </font>
    <font>
      <b/>
      <sz val="13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theme="0" tint="-0.349986266670735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9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2" fontId="0" fillId="5" borderId="0" xfId="0" applyNumberFormat="1" applyFill="1"/>
    <xf numFmtId="0" fontId="0" fillId="5" borderId="0" xfId="0" applyFill="1"/>
    <xf numFmtId="0" fontId="0" fillId="5" borderId="0" xfId="0" applyFill="1" applyBorder="1"/>
    <xf numFmtId="0" fontId="0" fillId="6" borderId="0" xfId="0" applyFill="1" applyBorder="1"/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73" fontId="0" fillId="0" borderId="0" xfId="0" applyNumberFormat="1" applyFill="1"/>
    <xf numFmtId="0" fontId="0" fillId="6" borderId="1" xfId="0" applyFill="1" applyBorder="1"/>
    <xf numFmtId="0" fontId="0" fillId="2" borderId="1" xfId="0" applyFill="1" applyBorder="1" applyAlignment="1">
      <alignment horizontal="center"/>
    </xf>
    <xf numFmtId="173" fontId="0" fillId="7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7" fillId="8" borderId="0" xfId="0" applyFont="1" applyFill="1"/>
    <xf numFmtId="0" fontId="6" fillId="2" borderId="0" xfId="0" applyFont="1" applyFill="1"/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9" fillId="8" borderId="0" xfId="0" applyFont="1" applyFill="1"/>
    <xf numFmtId="173" fontId="0" fillId="5" borderId="0" xfId="0" applyNumberFormat="1" applyFill="1" applyBorder="1"/>
    <xf numFmtId="0" fontId="0" fillId="5" borderId="2" xfId="0" applyFill="1" applyBorder="1"/>
    <xf numFmtId="0" fontId="0" fillId="7" borderId="1" xfId="0" applyFill="1" applyBorder="1" applyAlignment="1">
      <alignment horizontal="center"/>
    </xf>
    <xf numFmtId="173" fontId="0" fillId="7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7" fillId="8" borderId="0" xfId="0" applyFont="1" applyFill="1" applyAlignment="1">
      <alignment horizontal="center"/>
    </xf>
    <xf numFmtId="0" fontId="9" fillId="8" borderId="3" xfId="0" applyFont="1" applyFill="1" applyBorder="1"/>
    <xf numFmtId="0" fontId="0" fillId="2" borderId="4" xfId="0" applyFill="1" applyBorder="1"/>
    <xf numFmtId="0" fontId="0" fillId="2" borderId="1" xfId="0" applyFill="1" applyBorder="1"/>
    <xf numFmtId="0" fontId="5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8" borderId="0" xfId="0" applyFill="1"/>
    <xf numFmtId="0" fontId="9" fillId="8" borderId="4" xfId="0" applyFont="1" applyFill="1" applyBorder="1"/>
    <xf numFmtId="0" fontId="0" fillId="8" borderId="6" xfId="0" applyFill="1" applyBorder="1" applyAlignment="1">
      <alignment horizontal="center"/>
    </xf>
    <xf numFmtId="0" fontId="6" fillId="2" borderId="7" xfId="0" applyFont="1" applyFill="1" applyBorder="1"/>
    <xf numFmtId="0" fontId="6" fillId="2" borderId="0" xfId="0" applyFont="1" applyFill="1" applyBorder="1"/>
    <xf numFmtId="0" fontId="6" fillId="2" borderId="1" xfId="0" applyFont="1" applyFill="1" applyBorder="1"/>
    <xf numFmtId="2" fontId="0" fillId="6" borderId="4" xfId="0" applyNumberFormat="1" applyFill="1" applyBorder="1" applyAlignment="1">
      <alignment horizontal="center"/>
    </xf>
    <xf numFmtId="0" fontId="0" fillId="4" borderId="7" xfId="0" applyFill="1" applyBorder="1"/>
    <xf numFmtId="0" fontId="0" fillId="6" borderId="8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73" fontId="0" fillId="7" borderId="7" xfId="0" applyNumberFormat="1" applyFill="1" applyBorder="1" applyAlignment="1">
      <alignment horizontal="center"/>
    </xf>
    <xf numFmtId="173" fontId="0" fillId="7" borderId="8" xfId="0" applyNumberFormat="1" applyFill="1" applyBorder="1" applyAlignment="1">
      <alignment horizontal="center"/>
    </xf>
    <xf numFmtId="0" fontId="2" fillId="6" borderId="9" xfId="0" applyFont="1" applyFill="1" applyBorder="1" applyAlignment="1">
      <alignment horizontal="left"/>
    </xf>
    <xf numFmtId="0" fontId="3" fillId="7" borderId="9" xfId="0" applyFont="1" applyFill="1" applyBorder="1" applyAlignment="1">
      <alignment horizontal="left"/>
    </xf>
    <xf numFmtId="0" fontId="3" fillId="7" borderId="9" xfId="0" applyFont="1" applyFill="1" applyBorder="1" applyAlignment="1">
      <alignment horizontal="center"/>
    </xf>
    <xf numFmtId="0" fontId="0" fillId="7" borderId="9" xfId="0" applyFill="1" applyBorder="1"/>
    <xf numFmtId="0" fontId="3" fillId="7" borderId="6" xfId="0" applyFont="1" applyFill="1" applyBorder="1"/>
    <xf numFmtId="0" fontId="0" fillId="5" borderId="10" xfId="0" applyFill="1" applyBorder="1"/>
    <xf numFmtId="0" fontId="0" fillId="5" borderId="11" xfId="0" applyFill="1" applyBorder="1"/>
    <xf numFmtId="0" fontId="0" fillId="4" borderId="6" xfId="0" applyFill="1" applyBorder="1"/>
    <xf numFmtId="0" fontId="0" fillId="4" borderId="8" xfId="0" applyFill="1" applyBorder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right"/>
    </xf>
    <xf numFmtId="0" fontId="3" fillId="4" borderId="0" xfId="0" applyFont="1" applyFill="1"/>
    <xf numFmtId="0" fontId="12" fillId="4" borderId="1" xfId="0" applyFont="1" applyFill="1" applyBorder="1"/>
    <xf numFmtId="0" fontId="14" fillId="8" borderId="0" xfId="0" applyFont="1" applyFill="1"/>
    <xf numFmtId="173" fontId="0" fillId="5" borderId="12" xfId="0" applyNumberFormat="1" applyFill="1" applyBorder="1" applyAlignment="1">
      <alignment horizontal="center"/>
    </xf>
    <xf numFmtId="0" fontId="3" fillId="7" borderId="13" xfId="0" applyFont="1" applyFill="1" applyBorder="1" applyAlignment="1">
      <alignment horizontal="left"/>
    </xf>
    <xf numFmtId="0" fontId="0" fillId="7" borderId="5" xfId="0" applyFill="1" applyBorder="1" applyAlignment="1">
      <alignment horizontal="center"/>
    </xf>
    <xf numFmtId="173" fontId="0" fillId="7" borderId="4" xfId="0" applyNumberFormat="1" applyFill="1" applyBorder="1" applyAlignment="1">
      <alignment horizontal="center"/>
    </xf>
    <xf numFmtId="173" fontId="0" fillId="7" borderId="5" xfId="0" applyNumberFormat="1" applyFill="1" applyBorder="1" applyAlignment="1">
      <alignment horizontal="center"/>
    </xf>
    <xf numFmtId="0" fontId="3" fillId="5" borderId="14" xfId="0" applyFont="1" applyFill="1" applyBorder="1"/>
    <xf numFmtId="0" fontId="15" fillId="5" borderId="15" xfId="0" applyFont="1" applyFill="1" applyBorder="1"/>
    <xf numFmtId="0" fontId="0" fillId="6" borderId="5" xfId="0" applyFill="1" applyBorder="1" applyAlignment="1">
      <alignment horizontal="center"/>
    </xf>
    <xf numFmtId="2" fontId="0" fillId="5" borderId="12" xfId="0" applyNumberFormat="1" applyFill="1" applyBorder="1" applyAlignment="1">
      <alignment horizontal="center"/>
    </xf>
    <xf numFmtId="0" fontId="9" fillId="5" borderId="0" xfId="0" applyFont="1" applyFill="1"/>
    <xf numFmtId="0" fontId="9" fillId="8" borderId="6" xfId="0" applyFont="1" applyFill="1" applyBorder="1"/>
    <xf numFmtId="0" fontId="0" fillId="2" borderId="8" xfId="0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173" fontId="0" fillId="6" borderId="7" xfId="0" applyNumberFormat="1" applyFill="1" applyBorder="1" applyAlignment="1">
      <alignment horizontal="center"/>
    </xf>
    <xf numFmtId="173" fontId="0" fillId="6" borderId="8" xfId="0" applyNumberForma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11" fillId="2" borderId="17" xfId="0" applyFont="1" applyFill="1" applyBorder="1"/>
    <xf numFmtId="0" fontId="10" fillId="2" borderId="18" xfId="0" applyFont="1" applyFill="1" applyBorder="1"/>
    <xf numFmtId="0" fontId="0" fillId="4" borderId="0" xfId="0" applyFill="1" applyAlignment="1">
      <alignment horizontal="left"/>
    </xf>
    <xf numFmtId="0" fontId="16" fillId="3" borderId="0" xfId="0" applyFont="1" applyFill="1" applyBorder="1"/>
    <xf numFmtId="0" fontId="0" fillId="3" borderId="0" xfId="0" applyFill="1" applyAlignment="1">
      <alignment horizontal="left"/>
    </xf>
    <xf numFmtId="0" fontId="3" fillId="5" borderId="15" xfId="0" applyFont="1" applyFill="1" applyBorder="1" applyAlignment="1">
      <alignment horizontal="left"/>
    </xf>
    <xf numFmtId="0" fontId="3" fillId="5" borderId="0" xfId="0" applyFont="1" applyFill="1"/>
    <xf numFmtId="0" fontId="0" fillId="4" borderId="1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7" fillId="3" borderId="0" xfId="0" applyFont="1" applyFill="1"/>
    <xf numFmtId="0" fontId="13" fillId="3" borderId="15" xfId="0" applyFont="1" applyFill="1" applyBorder="1"/>
    <xf numFmtId="0" fontId="5" fillId="4" borderId="13" xfId="0" applyFont="1" applyFill="1" applyBorder="1"/>
    <xf numFmtId="0" fontId="5" fillId="4" borderId="5" xfId="0" applyFont="1" applyFill="1" applyBorder="1"/>
    <xf numFmtId="2" fontId="0" fillId="6" borderId="7" xfId="0" applyNumberForma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0" fontId="3" fillId="2" borderId="13" xfId="0" applyFont="1" applyFill="1" applyBorder="1" applyAlignment="1">
      <alignment horizontal="left"/>
    </xf>
    <xf numFmtId="0" fontId="3" fillId="6" borderId="13" xfId="0" applyFont="1" applyFill="1" applyBorder="1" applyAlignment="1">
      <alignment horizontal="left"/>
    </xf>
    <xf numFmtId="173" fontId="0" fillId="6" borderId="4" xfId="0" applyNumberFormat="1" applyFill="1" applyBorder="1" applyAlignment="1">
      <alignment horizontal="center"/>
    </xf>
    <xf numFmtId="173" fontId="0" fillId="6" borderId="5" xfId="0" applyNumberForma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2" fontId="0" fillId="7" borderId="0" xfId="0" applyNumberFormat="1" applyFill="1" applyBorder="1" applyAlignment="1">
      <alignment horizontal="center"/>
    </xf>
    <xf numFmtId="0" fontId="3" fillId="4" borderId="1" xfId="0" applyFont="1" applyFill="1" applyBorder="1" applyAlignment="1">
      <alignment horizontal="left"/>
    </xf>
    <xf numFmtId="0" fontId="3" fillId="4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right"/>
    </xf>
    <xf numFmtId="2" fontId="0" fillId="6" borderId="13" xfId="0" applyNumberFormat="1" applyFill="1" applyBorder="1" applyAlignment="1">
      <alignment horizontal="left"/>
    </xf>
    <xf numFmtId="2" fontId="0" fillId="6" borderId="5" xfId="0" applyNumberFormat="1" applyFill="1" applyBorder="1" applyAlignment="1">
      <alignment horizontal="center"/>
    </xf>
    <xf numFmtId="0" fontId="19" fillId="5" borderId="10" xfId="0" applyFont="1" applyFill="1" applyBorder="1"/>
    <xf numFmtId="2" fontId="0" fillId="6" borderId="19" xfId="0" applyNumberFormat="1" applyFill="1" applyBorder="1" applyAlignment="1">
      <alignment horizontal="center"/>
    </xf>
    <xf numFmtId="0" fontId="2" fillId="2" borderId="8" xfId="0" applyFont="1" applyFill="1" applyBorder="1" applyAlignment="1">
      <alignment horizontal="left"/>
    </xf>
    <xf numFmtId="176" fontId="0" fillId="5" borderId="0" xfId="0" applyNumberFormat="1" applyFill="1"/>
    <xf numFmtId="0" fontId="19" fillId="5" borderId="20" xfId="0" applyFont="1" applyFill="1" applyBorder="1"/>
    <xf numFmtId="2" fontId="0" fillId="5" borderId="0" xfId="0" applyNumberFormat="1" applyFill="1" applyAlignment="1">
      <alignment horizontal="left"/>
    </xf>
    <xf numFmtId="0" fontId="0" fillId="9" borderId="0" xfId="0" applyFill="1"/>
    <xf numFmtId="173" fontId="0" fillId="9" borderId="0" xfId="0" applyNumberFormat="1" applyFill="1" applyAlignment="1">
      <alignment horizontal="center"/>
    </xf>
    <xf numFmtId="0" fontId="0" fillId="9" borderId="5" xfId="0" applyFill="1" applyBorder="1"/>
    <xf numFmtId="173" fontId="0" fillId="2" borderId="0" xfId="0" applyNumberFormat="1" applyFill="1" applyBorder="1" applyAlignment="1">
      <alignment horizontal="center"/>
    </xf>
    <xf numFmtId="0" fontId="5" fillId="2" borderId="0" xfId="0" applyFont="1" applyFill="1" applyBorder="1"/>
    <xf numFmtId="173" fontId="0" fillId="2" borderId="4" xfId="0" applyNumberForma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2" fontId="5" fillId="3" borderId="0" xfId="0" applyNumberFormat="1" applyFont="1" applyFill="1" applyAlignment="1">
      <alignment horizontal="center"/>
    </xf>
    <xf numFmtId="2" fontId="5" fillId="3" borderId="0" xfId="0" applyNumberFormat="1" applyFont="1" applyFill="1" applyBorder="1" applyAlignment="1">
      <alignment horizontal="center"/>
    </xf>
    <xf numFmtId="2" fontId="5" fillId="3" borderId="6" xfId="0" applyNumberFormat="1" applyFont="1" applyFill="1" applyBorder="1" applyAlignment="1">
      <alignment horizontal="center"/>
    </xf>
    <xf numFmtId="2" fontId="5" fillId="3" borderId="7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2" fontId="5" fillId="3" borderId="4" xfId="0" applyNumberFormat="1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21" fillId="5" borderId="0" xfId="0" applyFont="1" applyFill="1" applyAlignment="1">
      <alignment horizontal="right"/>
    </xf>
    <xf numFmtId="0" fontId="21" fillId="5" borderId="0" xfId="0" applyFont="1" applyFill="1" applyAlignment="1">
      <alignment horizontal="left"/>
    </xf>
    <xf numFmtId="175" fontId="21" fillId="5" borderId="0" xfId="0" applyNumberFormat="1" applyFont="1" applyFill="1" applyAlignment="1">
      <alignment horizontal="left"/>
    </xf>
    <xf numFmtId="0" fontId="5" fillId="10" borderId="0" xfId="0" applyFont="1" applyFill="1"/>
    <xf numFmtId="0" fontId="0" fillId="10" borderId="0" xfId="0" applyFill="1"/>
    <xf numFmtId="44" fontId="20" fillId="10" borderId="0" xfId="1" applyFont="1" applyFill="1" applyAlignment="1">
      <alignment horizontal="center"/>
    </xf>
    <xf numFmtId="44" fontId="0" fillId="5" borderId="21" xfId="1" applyFont="1" applyFill="1" applyBorder="1"/>
    <xf numFmtId="44" fontId="0" fillId="5" borderId="19" xfId="1" applyFont="1" applyFill="1" applyBorder="1" applyAlignment="1">
      <alignment horizontal="center"/>
    </xf>
    <xf numFmtId="44" fontId="0" fillId="2" borderId="13" xfId="1" applyFont="1" applyFill="1" applyBorder="1" applyAlignment="1">
      <alignment horizontal="center"/>
    </xf>
    <xf numFmtId="44" fontId="0" fillId="2" borderId="4" xfId="1" applyFont="1" applyFill="1" applyBorder="1" applyAlignment="1">
      <alignment horizontal="center"/>
    </xf>
    <xf numFmtId="44" fontId="0" fillId="2" borderId="5" xfId="1" applyFont="1" applyFill="1" applyBorder="1" applyAlignment="1">
      <alignment horizontal="center"/>
    </xf>
    <xf numFmtId="44" fontId="0" fillId="5" borderId="12" xfId="1" applyFont="1" applyFill="1" applyBorder="1" applyAlignment="1">
      <alignment horizontal="center"/>
    </xf>
    <xf numFmtId="0" fontId="5" fillId="5" borderId="0" xfId="0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22</xdr:row>
      <xdr:rowOff>30480</xdr:rowOff>
    </xdr:from>
    <xdr:to>
      <xdr:col>5</xdr:col>
      <xdr:colOff>388620</xdr:colOff>
      <xdr:row>22</xdr:row>
      <xdr:rowOff>182880</xdr:rowOff>
    </xdr:to>
    <xdr:sp macro="" textlink="">
      <xdr:nvSpPr>
        <xdr:cNvPr id="6149" name="Line 1"/>
        <xdr:cNvSpPr>
          <a:spLocks noChangeShapeType="1"/>
        </xdr:cNvSpPr>
      </xdr:nvSpPr>
      <xdr:spPr bwMode="auto">
        <a:xfrm flipV="1">
          <a:off x="3566160" y="3886200"/>
          <a:ext cx="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293370</xdr:colOff>
      <xdr:row>20</xdr:row>
      <xdr:rowOff>93345</xdr:rowOff>
    </xdr:from>
    <xdr:to>
      <xdr:col>3</xdr:col>
      <xdr:colOff>415296</xdr:colOff>
      <xdr:row>21</xdr:row>
      <xdr:rowOff>185201</xdr:rowOff>
    </xdr:to>
    <xdr:sp macro="[0]!blup" textlink="">
      <xdr:nvSpPr>
        <xdr:cNvPr id="3" name="Text Box 3"/>
        <xdr:cNvSpPr txBox="1">
          <a:spLocks noChangeArrowheads="1"/>
        </xdr:cNvSpPr>
      </xdr:nvSpPr>
      <xdr:spPr bwMode="auto">
        <a:xfrm>
          <a:off x="790575" y="3476625"/>
          <a:ext cx="14382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Run </a:t>
          </a:r>
        </a:p>
      </xdr:txBody>
    </xdr:sp>
    <xdr:clientData/>
  </xdr:twoCellAnchor>
  <xdr:twoCellAnchor>
    <xdr:from>
      <xdr:col>14</xdr:col>
      <xdr:colOff>76200</xdr:colOff>
      <xdr:row>21</xdr:row>
      <xdr:rowOff>49530</xdr:rowOff>
    </xdr:from>
    <xdr:to>
      <xdr:col>16</xdr:col>
      <xdr:colOff>533400</xdr:colOff>
      <xdr:row>22</xdr:row>
      <xdr:rowOff>36488</xdr:rowOff>
    </xdr:to>
    <xdr:sp macro="[0]!ga" textlink="">
      <xdr:nvSpPr>
        <xdr:cNvPr id="4" name="Text Box 4"/>
        <xdr:cNvSpPr txBox="1">
          <a:spLocks noChangeArrowheads="1"/>
        </xdr:cNvSpPr>
      </xdr:nvSpPr>
      <xdr:spPr bwMode="auto">
        <a:xfrm>
          <a:off x="9410700" y="3609975"/>
          <a:ext cx="1552575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find implicit ec values</a:t>
          </a:r>
        </a:p>
      </xdr:txBody>
    </xdr:sp>
    <xdr:clientData/>
  </xdr:twoCellAnchor>
  <xdr:twoCellAnchor>
    <xdr:from>
      <xdr:col>14</xdr:col>
      <xdr:colOff>657225</xdr:colOff>
      <xdr:row>13</xdr:row>
      <xdr:rowOff>28575</xdr:rowOff>
    </xdr:from>
    <xdr:to>
      <xdr:col>17</xdr:col>
      <xdr:colOff>38100</xdr:colOff>
      <xdr:row>20</xdr:row>
      <xdr:rowOff>76200</xdr:rowOff>
    </xdr:to>
    <xdr:sp macro="" textlink="">
      <xdr:nvSpPr>
        <xdr:cNvPr id="5" name="AutoShape 5"/>
        <xdr:cNvSpPr>
          <a:spLocks noChangeArrowheads="1"/>
        </xdr:cNvSpPr>
      </xdr:nvSpPr>
      <xdr:spPr bwMode="auto">
        <a:xfrm>
          <a:off x="9934575" y="2324100"/>
          <a:ext cx="1143000" cy="1143000"/>
        </a:xfrm>
        <a:prstGeom prst="wedgeRectCallout">
          <a:avLst>
            <a:gd name="adj1" fmla="val 37500"/>
            <a:gd name="adj2" fmla="val 7282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000"/>
            </a:lnSpc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desired gains, put only values for tose traits that you want to set/fix, empty cells will be optimized within the constraints</a:t>
          </a:r>
        </a:p>
        <a:p>
          <a:pPr algn="l" rtl="0">
            <a:lnSpc>
              <a:spcPts val="1000"/>
            </a:lnSpc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Put 0.000001 if no change is desired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22</xdr:row>
      <xdr:rowOff>30480</xdr:rowOff>
    </xdr:from>
    <xdr:to>
      <xdr:col>5</xdr:col>
      <xdr:colOff>388620</xdr:colOff>
      <xdr:row>22</xdr:row>
      <xdr:rowOff>182880</xdr:rowOff>
    </xdr:to>
    <xdr:sp macro="" textlink="">
      <xdr:nvSpPr>
        <xdr:cNvPr id="1042" name="Line 1"/>
        <xdr:cNvSpPr>
          <a:spLocks noChangeShapeType="1"/>
        </xdr:cNvSpPr>
      </xdr:nvSpPr>
      <xdr:spPr bwMode="auto">
        <a:xfrm flipV="1">
          <a:off x="3566160" y="3886200"/>
          <a:ext cx="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293370</xdr:colOff>
      <xdr:row>20</xdr:row>
      <xdr:rowOff>93345</xdr:rowOff>
    </xdr:from>
    <xdr:to>
      <xdr:col>3</xdr:col>
      <xdr:colOff>415296</xdr:colOff>
      <xdr:row>21</xdr:row>
      <xdr:rowOff>185201</xdr:rowOff>
    </xdr:to>
    <xdr:sp macro="[0]!blup" textlink="">
      <xdr:nvSpPr>
        <xdr:cNvPr id="1027" name="Text Box 3"/>
        <xdr:cNvSpPr txBox="1">
          <a:spLocks noChangeArrowheads="1"/>
        </xdr:cNvSpPr>
      </xdr:nvSpPr>
      <xdr:spPr bwMode="auto">
        <a:xfrm>
          <a:off x="790575" y="3476625"/>
          <a:ext cx="14382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Run </a:t>
          </a:r>
        </a:p>
      </xdr:txBody>
    </xdr:sp>
    <xdr:clientData/>
  </xdr:twoCellAnchor>
  <xdr:twoCellAnchor>
    <xdr:from>
      <xdr:col>14</xdr:col>
      <xdr:colOff>76200</xdr:colOff>
      <xdr:row>21</xdr:row>
      <xdr:rowOff>49530</xdr:rowOff>
    </xdr:from>
    <xdr:to>
      <xdr:col>16</xdr:col>
      <xdr:colOff>533400</xdr:colOff>
      <xdr:row>22</xdr:row>
      <xdr:rowOff>36488</xdr:rowOff>
    </xdr:to>
    <xdr:sp macro="[0]!ga" textlink="">
      <xdr:nvSpPr>
        <xdr:cNvPr id="1028" name="Text Box 4"/>
        <xdr:cNvSpPr txBox="1">
          <a:spLocks noChangeArrowheads="1"/>
        </xdr:cNvSpPr>
      </xdr:nvSpPr>
      <xdr:spPr bwMode="auto">
        <a:xfrm>
          <a:off x="9410700" y="3609975"/>
          <a:ext cx="1990725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find implicit ec values</a:t>
          </a:r>
        </a:p>
      </xdr:txBody>
    </xdr:sp>
    <xdr:clientData/>
  </xdr:twoCellAnchor>
  <xdr:twoCellAnchor>
    <xdr:from>
      <xdr:col>14</xdr:col>
      <xdr:colOff>657225</xdr:colOff>
      <xdr:row>13</xdr:row>
      <xdr:rowOff>28575</xdr:rowOff>
    </xdr:from>
    <xdr:to>
      <xdr:col>17</xdr:col>
      <xdr:colOff>38100</xdr:colOff>
      <xdr:row>20</xdr:row>
      <xdr:rowOff>76200</xdr:rowOff>
    </xdr:to>
    <xdr:sp macro="" textlink="">
      <xdr:nvSpPr>
        <xdr:cNvPr id="1029" name="AutoShape 5"/>
        <xdr:cNvSpPr>
          <a:spLocks noChangeArrowheads="1"/>
        </xdr:cNvSpPr>
      </xdr:nvSpPr>
      <xdr:spPr bwMode="auto">
        <a:xfrm>
          <a:off x="9991725" y="2324100"/>
          <a:ext cx="1524000" cy="1143000"/>
        </a:xfrm>
        <a:prstGeom prst="wedgeRectCallout">
          <a:avLst>
            <a:gd name="adj1" fmla="val 37500"/>
            <a:gd name="adj2" fmla="val 7282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000"/>
            </a:lnSpc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desired gains, put only values for tose traits that you want to set/fix, empty cells will be optimized within the constraints</a:t>
          </a:r>
        </a:p>
        <a:p>
          <a:pPr algn="l" rtl="0">
            <a:lnSpc>
              <a:spcPts val="1000"/>
            </a:lnSpc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Put 0.000001 if no change is desired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6"/>
  <sheetViews>
    <sheetView zoomScale="130" zoomScaleNormal="130" workbookViewId="0">
      <pane ySplit="17136" topLeftCell="A37"/>
      <selection activeCell="O34" sqref="O34"/>
      <selection pane="bottomLeft" activeCell="A29" sqref="A29"/>
    </sheetView>
  </sheetViews>
  <sheetFormatPr defaultRowHeight="13.2" x14ac:dyDescent="0.25"/>
  <cols>
    <col min="1" max="1" width="7.5546875" customWidth="1"/>
    <col min="3" max="3" width="10.6640625" customWidth="1"/>
    <col min="4" max="4" width="10.33203125" customWidth="1"/>
    <col min="6" max="6" width="10.6640625" customWidth="1"/>
    <col min="7" max="7" width="10.88671875" customWidth="1"/>
    <col min="8" max="8" width="12.5546875" customWidth="1"/>
    <col min="9" max="9" width="9.6640625" customWidth="1"/>
    <col min="10" max="10" width="11.6640625" customWidth="1"/>
    <col min="11" max="11" width="10.109375" customWidth="1"/>
    <col min="12" max="12" width="9.33203125" customWidth="1"/>
    <col min="13" max="13" width="8.109375" customWidth="1"/>
    <col min="14" max="14" width="10" customWidth="1"/>
    <col min="15" max="15" width="9" customWidth="1"/>
    <col min="16" max="16" width="7.44140625" customWidth="1"/>
    <col min="19" max="33" width="9.44140625" bestFit="1" customWidth="1"/>
  </cols>
  <sheetData>
    <row r="1" spans="1:26" ht="18.75" customHeight="1" x14ac:dyDescent="0.3">
      <c r="A1" s="93" t="s">
        <v>36</v>
      </c>
      <c r="B1" s="94" t="s">
        <v>37</v>
      </c>
      <c r="C1" s="4"/>
      <c r="D1" s="68"/>
      <c r="E1" s="69"/>
      <c r="F1" s="89"/>
      <c r="G1" s="90"/>
      <c r="I1" s="8"/>
      <c r="J1" s="8"/>
      <c r="K1" s="8"/>
      <c r="L1" s="8"/>
      <c r="M1" s="8"/>
      <c r="N1" s="8"/>
      <c r="Q1" s="8"/>
      <c r="R1" s="8"/>
      <c r="S1" s="8"/>
    </row>
    <row r="2" spans="1:26" ht="18" thickBot="1" x14ac:dyDescent="0.35">
      <c r="A2" s="4"/>
      <c r="B2" s="88" t="s">
        <v>21</v>
      </c>
      <c r="C2" s="87"/>
      <c r="D2" s="118" t="s">
        <v>41</v>
      </c>
      <c r="E2" s="24"/>
      <c r="F2" s="24"/>
      <c r="G2" s="24"/>
      <c r="H2" s="55"/>
      <c r="I2" s="95" t="s">
        <v>40</v>
      </c>
      <c r="J2" s="56"/>
      <c r="K2" s="8"/>
      <c r="L2" s="8"/>
      <c r="M2" s="8"/>
      <c r="N2" s="8"/>
      <c r="O2" s="8"/>
      <c r="P2" s="8"/>
      <c r="Q2" s="8"/>
      <c r="R2" s="8"/>
      <c r="S2" s="8"/>
    </row>
    <row r="3" spans="1:26" ht="15.6" thickBot="1" x14ac:dyDescent="0.3">
      <c r="A3" s="83">
        <v>6</v>
      </c>
      <c r="B3" s="85" t="s">
        <v>27</v>
      </c>
      <c r="C3" s="84"/>
      <c r="D3" s="31"/>
      <c r="E3" s="22"/>
      <c r="F3" s="18" t="s">
        <v>20</v>
      </c>
      <c r="G3" s="22"/>
      <c r="H3" s="22"/>
      <c r="I3" s="96"/>
      <c r="J3" s="71">
        <v>13.08544622648397</v>
      </c>
      <c r="K3" s="8"/>
      <c r="M3" s="72"/>
      <c r="N3" s="72"/>
      <c r="O3" s="8"/>
      <c r="P3" s="8"/>
      <c r="Q3" s="8"/>
      <c r="R3" s="8"/>
      <c r="S3" s="8"/>
    </row>
    <row r="4" spans="1:26" x14ac:dyDescent="0.25">
      <c r="A4" s="2"/>
      <c r="B4" s="2"/>
      <c r="C4" s="2"/>
      <c r="D4" s="32" t="s">
        <v>5</v>
      </c>
      <c r="E4" s="3" t="s">
        <v>33</v>
      </c>
      <c r="F4" s="3" t="s">
        <v>32</v>
      </c>
      <c r="G4" s="3" t="s">
        <v>18</v>
      </c>
      <c r="H4" s="3" t="s">
        <v>4</v>
      </c>
      <c r="I4" s="112" t="s">
        <v>35</v>
      </c>
      <c r="J4" s="81"/>
      <c r="K4" s="6"/>
      <c r="L4" s="6"/>
      <c r="M4" s="6"/>
      <c r="N4" s="6"/>
      <c r="O4" s="6"/>
      <c r="P4" s="6"/>
      <c r="Q4" s="6"/>
      <c r="R4" s="6"/>
      <c r="S4" s="59"/>
      <c r="T4" s="12"/>
      <c r="U4" s="12"/>
      <c r="V4" s="1"/>
      <c r="W4" s="1"/>
      <c r="X4" s="1"/>
    </row>
    <row r="5" spans="1:26" x14ac:dyDescent="0.25">
      <c r="A5" s="2" t="s">
        <v>0</v>
      </c>
      <c r="B5" s="33" t="s">
        <v>3</v>
      </c>
      <c r="C5" s="15" t="s">
        <v>7</v>
      </c>
      <c r="D5" s="36" t="s">
        <v>2</v>
      </c>
      <c r="E5" s="34" t="s">
        <v>30</v>
      </c>
      <c r="F5" s="34" t="s">
        <v>30</v>
      </c>
      <c r="G5" s="35" t="s">
        <v>17</v>
      </c>
      <c r="H5" s="15" t="s">
        <v>34</v>
      </c>
      <c r="I5" s="113" t="s">
        <v>38</v>
      </c>
      <c r="J5" s="45" t="s">
        <v>39</v>
      </c>
      <c r="K5" s="6"/>
      <c r="L5" s="6"/>
      <c r="M5" s="6"/>
      <c r="N5" s="6"/>
      <c r="O5" s="6"/>
      <c r="P5" s="6"/>
      <c r="Q5" s="6"/>
      <c r="R5" s="6"/>
      <c r="S5" s="8"/>
      <c r="T5" s="12"/>
      <c r="U5" s="12"/>
      <c r="V5" s="1"/>
      <c r="W5" s="1"/>
      <c r="X5" s="1"/>
    </row>
    <row r="6" spans="1:26" x14ac:dyDescent="0.25">
      <c r="A6" s="3">
        <f t="shared" ref="A6:A11" si="0">IF(ROW(A6)&lt;=nt+5,ROW(A6)-5,IF(A5=nt,"     ",""))</f>
        <v>1</v>
      </c>
      <c r="B6" s="126" t="s">
        <v>57</v>
      </c>
      <c r="C6" s="127"/>
      <c r="D6" s="128">
        <v>6.324555320336759</v>
      </c>
      <c r="E6" s="128">
        <v>0.4</v>
      </c>
      <c r="F6" s="129">
        <v>0.4</v>
      </c>
      <c r="G6" s="129">
        <v>0</v>
      </c>
      <c r="H6" s="130">
        <v>-0.80200000000000005</v>
      </c>
      <c r="I6" s="43">
        <f t="shared" ref="I6:I11" si="1">IF($A6&lt;=nt,SQRT(E6)*D6," ")</f>
        <v>4</v>
      </c>
      <c r="J6" s="97">
        <f t="shared" ref="J6:J11" si="2">IF($A6&lt;=nt,H6*I6," ")</f>
        <v>-3.2080000000000002</v>
      </c>
      <c r="K6" s="6"/>
      <c r="L6" s="6"/>
      <c r="M6" s="6"/>
      <c r="N6" s="6"/>
      <c r="O6" s="6"/>
      <c r="P6" s="6"/>
      <c r="Q6" s="6"/>
      <c r="R6" s="6"/>
      <c r="S6" s="7"/>
      <c r="T6" s="12"/>
      <c r="U6" s="11"/>
      <c r="V6" s="13"/>
      <c r="W6" s="1"/>
      <c r="X6" s="1"/>
    </row>
    <row r="7" spans="1:26" x14ac:dyDescent="0.25">
      <c r="A7" s="3">
        <f t="shared" si="0"/>
        <v>2</v>
      </c>
      <c r="B7" s="126" t="s">
        <v>58</v>
      </c>
      <c r="C7" s="127"/>
      <c r="D7" s="128">
        <v>0.45677665220542957</v>
      </c>
      <c r="E7" s="128">
        <v>0.28756991963043815</v>
      </c>
      <c r="F7" s="129">
        <v>0.28756991963043815</v>
      </c>
      <c r="G7" s="129">
        <v>0</v>
      </c>
      <c r="H7" s="131">
        <v>20</v>
      </c>
      <c r="I7" s="43">
        <f t="shared" si="1"/>
        <v>0.2449489742783178</v>
      </c>
      <c r="J7" s="97">
        <f t="shared" si="2"/>
        <v>4.8989794855663558</v>
      </c>
      <c r="K7" s="6"/>
      <c r="L7" s="6"/>
      <c r="M7" s="6"/>
      <c r="N7" s="6"/>
      <c r="O7" s="6"/>
      <c r="P7" s="6"/>
      <c r="Q7" s="6"/>
      <c r="R7" s="6"/>
      <c r="S7" s="7"/>
      <c r="T7" s="12"/>
      <c r="U7" s="11"/>
      <c r="V7" s="13"/>
      <c r="W7" s="1"/>
      <c r="X7" s="1"/>
    </row>
    <row r="8" spans="1:26" x14ac:dyDescent="0.25">
      <c r="A8" s="3">
        <f t="shared" si="0"/>
        <v>3</v>
      </c>
      <c r="B8" s="126" t="s">
        <v>59</v>
      </c>
      <c r="C8" s="127"/>
      <c r="D8" s="128">
        <v>1.2247450183609647</v>
      </c>
      <c r="E8" s="128">
        <v>0.54999986133336665</v>
      </c>
      <c r="F8" s="129">
        <v>0.54999986133336665</v>
      </c>
      <c r="G8" s="129">
        <v>0</v>
      </c>
      <c r="H8" s="131">
        <v>-8</v>
      </c>
      <c r="I8" s="43">
        <f t="shared" si="1"/>
        <v>0.90829510072442865</v>
      </c>
      <c r="J8" s="97">
        <f t="shared" si="2"/>
        <v>-7.2663608057954292</v>
      </c>
      <c r="K8" s="6"/>
      <c r="L8" s="6"/>
      <c r="M8" s="6"/>
      <c r="N8" s="6"/>
      <c r="O8" s="6"/>
      <c r="P8" s="6"/>
      <c r="Q8" s="6"/>
      <c r="R8" s="6"/>
      <c r="S8" s="7"/>
      <c r="T8" s="12"/>
      <c r="U8" s="11"/>
      <c r="V8" s="13"/>
      <c r="W8" s="1"/>
      <c r="X8" s="1"/>
    </row>
    <row r="9" spans="1:26" x14ac:dyDescent="0.25">
      <c r="A9" s="3">
        <f t="shared" si="0"/>
        <v>4</v>
      </c>
      <c r="B9" s="126" t="s">
        <v>60</v>
      </c>
      <c r="C9" s="127"/>
      <c r="D9" s="128">
        <v>8.9442719099991592</v>
      </c>
      <c r="E9" s="128">
        <v>0.3</v>
      </c>
      <c r="F9" s="129">
        <v>0.3</v>
      </c>
      <c r="G9" s="129">
        <v>0</v>
      </c>
      <c r="H9" s="131">
        <v>0.33</v>
      </c>
      <c r="I9" s="43">
        <f t="shared" si="1"/>
        <v>4.8989794855663558</v>
      </c>
      <c r="J9" s="97">
        <f t="shared" si="2"/>
        <v>1.6166632302368975</v>
      </c>
      <c r="K9" s="6"/>
      <c r="L9" s="6"/>
      <c r="M9" s="6"/>
      <c r="N9" s="6"/>
      <c r="O9" s="6"/>
      <c r="P9" s="6"/>
      <c r="Q9" s="6"/>
      <c r="R9" s="6"/>
      <c r="S9" s="7"/>
      <c r="T9" s="12"/>
      <c r="U9" s="11"/>
      <c r="V9" s="13"/>
      <c r="W9" s="1"/>
      <c r="X9" s="1"/>
    </row>
    <row r="10" spans="1:26" x14ac:dyDescent="0.25">
      <c r="A10" s="3">
        <f t="shared" si="0"/>
        <v>5</v>
      </c>
      <c r="B10" s="126" t="s">
        <v>61</v>
      </c>
      <c r="C10" s="127"/>
      <c r="D10" s="128">
        <v>0.64865260347893461</v>
      </c>
      <c r="E10" s="128">
        <v>6.1794385362145987E-2</v>
      </c>
      <c r="F10" s="129">
        <v>6.1794385362145987E-2</v>
      </c>
      <c r="G10" s="129">
        <v>0</v>
      </c>
      <c r="H10" s="131">
        <v>70.739999999999995</v>
      </c>
      <c r="I10" s="43">
        <f t="shared" si="1"/>
        <v>0.16124515496597097</v>
      </c>
      <c r="J10" s="97">
        <f t="shared" si="2"/>
        <v>11.406482262292785</v>
      </c>
      <c r="K10" s="6"/>
      <c r="L10" s="6"/>
      <c r="M10" s="6"/>
      <c r="N10" s="6"/>
      <c r="O10" s="6"/>
      <c r="P10" s="6"/>
      <c r="Q10" s="6"/>
      <c r="R10" s="6"/>
      <c r="S10" s="7"/>
      <c r="T10" s="12"/>
      <c r="U10" s="11"/>
      <c r="V10" s="13"/>
      <c r="W10" s="1" t="str">
        <f>IF(COLUMN(W10)&lt;=nt+3,COLUMN(W10)-3,IF(V10=nt,"Phenotypic Correlation",""))</f>
        <v/>
      </c>
      <c r="X10" s="1" t="str">
        <f>IF(COLUMN(X10)&lt;=nt+3,COLUMN(X10)-3,IF(W10=nt,"Phenotypic Correlation",""))</f>
        <v/>
      </c>
      <c r="Y10" t="str">
        <f>IF(COLUMN(Y10)&lt;=nt+3,COLUMN(Y10)-3,IF(X10=nt,"Correlation structure",""))</f>
        <v/>
      </c>
      <c r="Z10" t="str">
        <f>IF(COLUMN(Z10)&lt;=nt+3,COLUMN(Z10)-3,IF(Y10=nt,"Correlation structure",""))</f>
        <v/>
      </c>
    </row>
    <row r="11" spans="1:26" x14ac:dyDescent="0.25">
      <c r="A11" s="15">
        <f t="shared" si="0"/>
        <v>6</v>
      </c>
      <c r="B11" s="126" t="s">
        <v>62</v>
      </c>
      <c r="C11" s="127"/>
      <c r="D11" s="128">
        <v>5.5629193414968725</v>
      </c>
      <c r="E11" s="128">
        <v>0.35060994300808124</v>
      </c>
      <c r="F11" s="129">
        <v>0.35060994300808124</v>
      </c>
      <c r="G11" s="129">
        <v>0</v>
      </c>
      <c r="H11" s="131">
        <v>0.8</v>
      </c>
      <c r="I11" s="43">
        <f t="shared" si="1"/>
        <v>3.2939338791177941</v>
      </c>
      <c r="J11" s="97">
        <f t="shared" si="2"/>
        <v>2.6351471032942353</v>
      </c>
      <c r="K11" s="6"/>
      <c r="L11" s="6"/>
      <c r="M11" s="6"/>
      <c r="N11" s="6"/>
      <c r="O11" s="6"/>
      <c r="P11" s="6"/>
      <c r="Q11" s="6"/>
      <c r="R11" s="6"/>
      <c r="S11" s="8"/>
      <c r="T11" s="12"/>
      <c r="U11" s="12"/>
      <c r="V11" s="1"/>
      <c r="W11" s="1"/>
      <c r="X11" s="1"/>
    </row>
    <row r="12" spans="1:26" x14ac:dyDescent="0.25">
      <c r="A12" s="1"/>
      <c r="B12" s="6"/>
      <c r="C12" s="29"/>
      <c r="D12" s="30" t="s">
        <v>25</v>
      </c>
      <c r="E12" s="29"/>
      <c r="F12" s="29"/>
      <c r="G12" s="29"/>
      <c r="H12" s="39"/>
      <c r="I12" s="38"/>
      <c r="J12" s="62" t="s">
        <v>26</v>
      </c>
      <c r="K12" s="37"/>
      <c r="L12" s="22"/>
      <c r="M12" s="22"/>
      <c r="N12" s="73"/>
      <c r="O12" s="58"/>
      <c r="P12" s="6"/>
      <c r="Q12" s="6"/>
      <c r="R12" s="6"/>
      <c r="S12" s="8"/>
      <c r="T12" s="12"/>
      <c r="U12" s="12"/>
      <c r="V12" s="1"/>
    </row>
    <row r="13" spans="1:26" x14ac:dyDescent="0.25">
      <c r="A13" s="20" t="s">
        <v>1</v>
      </c>
      <c r="B13" s="21"/>
      <c r="C13" s="19">
        <f t="shared" ref="C13:H13" si="3">IF(COLUMN(C13)&lt;=nt+2,COLUMN(C13)-2,IF(B13=nt,"Phenotypic",""))</f>
        <v>1</v>
      </c>
      <c r="D13" s="19">
        <f t="shared" si="3"/>
        <v>2</v>
      </c>
      <c r="E13" s="19">
        <f t="shared" si="3"/>
        <v>3</v>
      </c>
      <c r="F13" s="19">
        <f t="shared" si="3"/>
        <v>4</v>
      </c>
      <c r="G13" s="19">
        <f t="shared" si="3"/>
        <v>5</v>
      </c>
      <c r="H13" s="40">
        <f t="shared" si="3"/>
        <v>6</v>
      </c>
      <c r="I13" s="82" t="s">
        <v>11</v>
      </c>
      <c r="J13" s="15" t="s">
        <v>13</v>
      </c>
      <c r="K13" s="15" t="s">
        <v>12</v>
      </c>
      <c r="L13" s="15" t="s">
        <v>14</v>
      </c>
      <c r="M13" s="15" t="s">
        <v>15</v>
      </c>
      <c r="N13" s="74" t="s">
        <v>16</v>
      </c>
      <c r="O13" s="6"/>
      <c r="P13" s="6"/>
      <c r="Q13" s="6"/>
      <c r="R13" s="6"/>
      <c r="S13" s="8"/>
      <c r="T13" s="12"/>
      <c r="U13" s="12"/>
      <c r="V13" s="1"/>
    </row>
    <row r="14" spans="1:26" x14ac:dyDescent="0.25">
      <c r="A14" s="3" t="str">
        <f>IF(ROW(A14)&lt;=nt+22,$B6,IF(A13=nt," Genetic Correlation   ",""))</f>
        <v>awt</v>
      </c>
      <c r="B14" s="19">
        <f t="shared" ref="B14:B20" si="4">IF(ROW(B14)&lt;=nt+13,ROW(B14)-13,IF(B13=nt," Genetic   ",""))</f>
        <v>1</v>
      </c>
      <c r="C14" s="132">
        <v>1</v>
      </c>
      <c r="D14" s="128">
        <v>0.25789024999999999</v>
      </c>
      <c r="E14" s="128">
        <v>0.15441315999999999</v>
      </c>
      <c r="F14" s="128">
        <v>2.451354E-2</v>
      </c>
      <c r="G14" s="128">
        <v>0.14743927000000001</v>
      </c>
      <c r="H14" s="129">
        <v>0.60898989000000003</v>
      </c>
      <c r="I14" s="126">
        <v>0</v>
      </c>
      <c r="J14" s="133">
        <v>1</v>
      </c>
      <c r="K14" s="133">
        <v>1</v>
      </c>
      <c r="L14" s="133">
        <v>0</v>
      </c>
      <c r="M14" s="133">
        <v>20</v>
      </c>
      <c r="N14" s="127">
        <v>0</v>
      </c>
      <c r="O14" s="58"/>
      <c r="P14" s="6"/>
      <c r="Q14" s="6"/>
      <c r="R14" s="6"/>
      <c r="S14" s="8"/>
      <c r="T14" s="12"/>
      <c r="U14" s="12"/>
      <c r="V14" s="1"/>
    </row>
    <row r="15" spans="1:26" x14ac:dyDescent="0.25">
      <c r="A15" s="3" t="str">
        <f>IF(ROW(A15)&lt;=nt+22,$B7,IF(A14=nt," Genetic Correlation   ",""))</f>
        <v>ycfw</v>
      </c>
      <c r="B15" s="19">
        <f t="shared" si="4"/>
        <v>2</v>
      </c>
      <c r="C15" s="128">
        <v>0.10394</v>
      </c>
      <c r="D15" s="132">
        <v>1</v>
      </c>
      <c r="E15" s="128">
        <v>0.30884909999999999</v>
      </c>
      <c r="F15" s="128">
        <v>0.13929324000000001</v>
      </c>
      <c r="G15" s="129">
        <v>1.7818420000000001E-2</v>
      </c>
      <c r="H15" s="129">
        <v>0.29616028</v>
      </c>
      <c r="I15" s="126">
        <v>1</v>
      </c>
      <c r="J15" s="133">
        <v>1</v>
      </c>
      <c r="K15" s="133">
        <v>1</v>
      </c>
      <c r="L15" s="133">
        <v>0</v>
      </c>
      <c r="M15" s="133">
        <v>20</v>
      </c>
      <c r="N15" s="127">
        <v>0</v>
      </c>
      <c r="O15" s="6"/>
      <c r="P15" s="6"/>
      <c r="Q15" s="6"/>
      <c r="R15" s="6"/>
      <c r="S15" s="8"/>
      <c r="T15" s="12"/>
      <c r="U15" s="12"/>
      <c r="V15" s="1"/>
    </row>
    <row r="16" spans="1:26" x14ac:dyDescent="0.25">
      <c r="A16" s="3" t="str">
        <f>IF(ROW(A16)&lt;=nt+22,$B8,IF(A15=nt," Genetic Correlation   ",""))</f>
        <v>yfd</v>
      </c>
      <c r="B16" s="19">
        <f t="shared" si="4"/>
        <v>3</v>
      </c>
      <c r="C16" s="128">
        <v>0.20619999</v>
      </c>
      <c r="D16" s="128">
        <v>0.30096999000000002</v>
      </c>
      <c r="E16" s="132">
        <v>1</v>
      </c>
      <c r="F16" s="128">
        <v>0.25236169000000003</v>
      </c>
      <c r="G16" s="128">
        <v>2.4264500000000001E-2</v>
      </c>
      <c r="H16" s="129">
        <v>0.19900577</v>
      </c>
      <c r="I16" s="126">
        <v>1</v>
      </c>
      <c r="J16" s="133">
        <v>1</v>
      </c>
      <c r="K16" s="133">
        <v>1</v>
      </c>
      <c r="L16" s="133">
        <v>0</v>
      </c>
      <c r="M16" s="133">
        <v>20</v>
      </c>
      <c r="N16" s="127">
        <v>0</v>
      </c>
      <c r="O16" s="6"/>
      <c r="P16" s="6"/>
      <c r="Q16" s="6"/>
      <c r="R16" s="6"/>
      <c r="S16" s="8"/>
      <c r="T16" s="12"/>
      <c r="U16" s="12"/>
      <c r="V16" s="1"/>
    </row>
    <row r="17" spans="1:22" x14ac:dyDescent="0.25">
      <c r="A17" s="3" t="str">
        <f>IF(ROW(A17)&lt;=nt+22,$B9,IF(A16=nt," Genetic Correlation   ",""))</f>
        <v>yss</v>
      </c>
      <c r="B17" s="19">
        <f t="shared" si="4"/>
        <v>4</v>
      </c>
      <c r="C17" s="128">
        <v>6.8999999999999997E-4</v>
      </c>
      <c r="D17" s="128">
        <v>-6.0000000000000002E-5</v>
      </c>
      <c r="E17" s="128">
        <v>0.30492999999999998</v>
      </c>
      <c r="F17" s="132">
        <v>1</v>
      </c>
      <c r="G17" s="129">
        <v>-1.6333750000000001E-2</v>
      </c>
      <c r="H17" s="129">
        <v>3.597848E-2</v>
      </c>
      <c r="I17" s="126">
        <v>0</v>
      </c>
      <c r="J17" s="133">
        <v>0</v>
      </c>
      <c r="K17" s="133">
        <v>0</v>
      </c>
      <c r="L17" s="133">
        <v>0</v>
      </c>
      <c r="M17" s="133">
        <v>0</v>
      </c>
      <c r="N17" s="127">
        <v>0</v>
      </c>
      <c r="O17" s="6"/>
      <c r="P17" s="6"/>
      <c r="Q17" s="6"/>
      <c r="R17" s="6"/>
      <c r="S17" s="8"/>
      <c r="T17" s="12"/>
      <c r="U17" s="12"/>
      <c r="V17" s="1"/>
    </row>
    <row r="18" spans="1:22" x14ac:dyDescent="0.25">
      <c r="A18" s="17" t="str">
        <f>IF(ROW(A18)&lt;=nt+22,$B10,IF(A17=nt," Genetic Correlation   ",""))</f>
        <v>nlw</v>
      </c>
      <c r="B18" s="41">
        <f t="shared" si="4"/>
        <v>5</v>
      </c>
      <c r="C18" s="128">
        <v>0.35028999999999999</v>
      </c>
      <c r="D18" s="128">
        <v>-9.9770010000000006E-2</v>
      </c>
      <c r="E18" s="128">
        <v>-6.4000000000000005E-4</v>
      </c>
      <c r="F18" s="128">
        <v>2.7E-4</v>
      </c>
      <c r="G18" s="132">
        <v>1</v>
      </c>
      <c r="H18" s="129">
        <v>0.13013139000000001</v>
      </c>
      <c r="I18" s="126">
        <v>0</v>
      </c>
      <c r="J18" s="133">
        <v>1</v>
      </c>
      <c r="K18" s="133">
        <v>0</v>
      </c>
      <c r="L18" s="133">
        <v>0</v>
      </c>
      <c r="M18" s="133">
        <v>0</v>
      </c>
      <c r="N18" s="127">
        <v>0</v>
      </c>
      <c r="O18" s="58"/>
      <c r="P18" s="6"/>
      <c r="Q18" s="6"/>
      <c r="R18" s="6"/>
      <c r="S18" s="8"/>
      <c r="T18" s="12"/>
      <c r="U18" s="12"/>
      <c r="V18" s="1"/>
    </row>
    <row r="19" spans="1:22" x14ac:dyDescent="0.25">
      <c r="A19" s="15" t="str">
        <f>IF(ROW(A19)&lt;=nt+13,$B11,IF(A18=nt," Genetic Correlation   ",""))</f>
        <v>ywt</v>
      </c>
      <c r="B19" s="42">
        <f t="shared" si="4"/>
        <v>6</v>
      </c>
      <c r="C19" s="134">
        <v>0.79584997999999996</v>
      </c>
      <c r="D19" s="129">
        <v>0.25027999000000001</v>
      </c>
      <c r="E19" s="129">
        <v>0.19856001000000001</v>
      </c>
      <c r="F19" s="129">
        <v>1.3699999999999999E-3</v>
      </c>
      <c r="G19" s="129">
        <v>0.29912000999999999</v>
      </c>
      <c r="H19" s="132">
        <v>1</v>
      </c>
      <c r="I19" s="135">
        <v>1</v>
      </c>
      <c r="J19" s="133">
        <v>1</v>
      </c>
      <c r="K19" s="133">
        <v>1</v>
      </c>
      <c r="L19" s="133">
        <v>0</v>
      </c>
      <c r="M19" s="133">
        <v>20</v>
      </c>
      <c r="N19" s="127">
        <v>0</v>
      </c>
      <c r="O19" s="58"/>
      <c r="P19" s="6"/>
      <c r="Q19" s="6"/>
      <c r="R19" s="6"/>
      <c r="S19" s="8"/>
      <c r="T19" s="12"/>
      <c r="U19" s="12"/>
      <c r="V19" s="1"/>
    </row>
    <row r="20" spans="1:22" ht="9.75" customHeight="1" x14ac:dyDescent="0.25">
      <c r="A20" s="54"/>
      <c r="B20" s="111" t="str">
        <f t="shared" si="4"/>
        <v xml:space="preserve"> Genetic   </v>
      </c>
      <c r="C20" s="114" t="s">
        <v>41</v>
      </c>
      <c r="D20" s="114" t="s">
        <v>41</v>
      </c>
      <c r="E20" s="114" t="s">
        <v>41</v>
      </c>
      <c r="F20" s="54"/>
      <c r="G20" s="54"/>
      <c r="H20" s="54"/>
      <c r="I20" s="54"/>
      <c r="J20" s="54"/>
      <c r="K20" s="54"/>
      <c r="L20" s="54"/>
      <c r="M20" s="54"/>
      <c r="N20" s="54"/>
      <c r="O20" s="58"/>
      <c r="P20" s="6"/>
      <c r="Q20" s="6"/>
      <c r="R20" s="6"/>
      <c r="S20" s="8"/>
      <c r="T20" s="12"/>
      <c r="U20" s="12"/>
      <c r="V20" s="1"/>
    </row>
    <row r="21" spans="1:22" x14ac:dyDescent="0.25">
      <c r="A21" s="86"/>
      <c r="B21" s="5"/>
      <c r="C21" s="86"/>
      <c r="D21" s="5"/>
      <c r="E21" s="5"/>
      <c r="F21" s="110" t="s">
        <v>10</v>
      </c>
      <c r="G21" s="109" t="s">
        <v>8</v>
      </c>
      <c r="H21" s="5"/>
      <c r="I21" s="5"/>
      <c r="J21" s="5"/>
      <c r="K21" s="5"/>
      <c r="L21" s="5"/>
      <c r="M21" s="5"/>
      <c r="N21" s="44"/>
      <c r="O21" s="119"/>
      <c r="P21" s="6"/>
      <c r="Q21" s="6"/>
      <c r="R21" s="6"/>
      <c r="S21" s="136" t="s">
        <v>47</v>
      </c>
      <c r="T21" s="137">
        <v>200</v>
      </c>
      <c r="U21" s="12"/>
      <c r="V21" s="1"/>
    </row>
    <row r="22" spans="1:22" ht="17.399999999999999" x14ac:dyDescent="0.3">
      <c r="A22" s="61" t="s">
        <v>28</v>
      </c>
      <c r="B22" s="60"/>
      <c r="C22" s="91" t="s">
        <v>44</v>
      </c>
      <c r="D22" s="5"/>
      <c r="E22" s="5"/>
      <c r="F22" s="147">
        <v>5.8570869358707176</v>
      </c>
      <c r="G22" s="63">
        <v>0.44760314891030684</v>
      </c>
      <c r="H22" s="5"/>
      <c r="I22" s="5"/>
      <c r="J22" s="5"/>
      <c r="K22" s="5"/>
      <c r="L22" s="5"/>
      <c r="M22" s="5"/>
      <c r="N22" s="57"/>
      <c r="O22" s="8"/>
      <c r="P22" s="8"/>
      <c r="Q22" s="8"/>
      <c r="R22" s="8"/>
      <c r="S22" s="136" t="s">
        <v>53</v>
      </c>
      <c r="T22" s="138">
        <v>9.2788967149362035E-10</v>
      </c>
    </row>
    <row r="23" spans="1:22" ht="15.6" x14ac:dyDescent="0.3">
      <c r="A23" s="10"/>
      <c r="B23" s="49" t="s">
        <v>9</v>
      </c>
      <c r="C23" s="92" t="s">
        <v>29</v>
      </c>
      <c r="D23" s="101"/>
      <c r="E23" s="105" t="s">
        <v>6</v>
      </c>
      <c r="F23" s="98"/>
      <c r="G23" s="102" t="s">
        <v>31</v>
      </c>
      <c r="H23" s="75"/>
      <c r="I23" s="64"/>
      <c r="J23" s="50"/>
      <c r="K23" s="51" t="s">
        <v>24</v>
      </c>
      <c r="L23" s="52"/>
      <c r="M23" s="50"/>
      <c r="N23" s="53"/>
      <c r="O23" s="124" t="s">
        <v>50</v>
      </c>
      <c r="P23" s="120" t="s">
        <v>48</v>
      </c>
      <c r="Q23" s="3" t="s">
        <v>55</v>
      </c>
      <c r="R23" s="3" t="s">
        <v>52</v>
      </c>
      <c r="S23" s="136" t="s">
        <v>54</v>
      </c>
      <c r="T23" s="137">
        <v>200</v>
      </c>
    </row>
    <row r="24" spans="1:22" x14ac:dyDescent="0.25">
      <c r="A24" s="14"/>
      <c r="B24" s="14"/>
      <c r="C24" s="70" t="s">
        <v>2</v>
      </c>
      <c r="D24" s="82"/>
      <c r="E24" s="15"/>
      <c r="F24" s="107" t="s">
        <v>39</v>
      </c>
      <c r="G24" s="70" t="s">
        <v>22</v>
      </c>
      <c r="H24" s="45" t="s">
        <v>23</v>
      </c>
      <c r="I24" s="65" t="s">
        <v>11</v>
      </c>
      <c r="J24" s="25" t="s">
        <v>13</v>
      </c>
      <c r="K24" s="25" t="s">
        <v>12</v>
      </c>
      <c r="L24" s="25" t="s">
        <v>14</v>
      </c>
      <c r="M24" s="26" t="s">
        <v>15</v>
      </c>
      <c r="N24" s="46" t="s">
        <v>16</v>
      </c>
      <c r="O24" s="15" t="s">
        <v>51</v>
      </c>
      <c r="P24" s="122" t="s">
        <v>49</v>
      </c>
      <c r="Q24" s="15" t="s">
        <v>49</v>
      </c>
      <c r="R24" s="33" t="s">
        <v>56</v>
      </c>
      <c r="S24" s="139" t="s">
        <v>63</v>
      </c>
      <c r="T24" s="140"/>
    </row>
    <row r="25" spans="1:22" x14ac:dyDescent="0.25">
      <c r="A25" s="28">
        <f t="shared" ref="A25:A30" si="5">A6</f>
        <v>1</v>
      </c>
      <c r="B25" s="78" t="str">
        <f t="shared" ref="B25:B30" si="6">IF(ROW(A6)&lt;=nt+5,B6,IF(A5=nt,"     ",""))</f>
        <v>awt</v>
      </c>
      <c r="C25" s="43">
        <f t="shared" ref="C25:C30" si="7">IF($A6&lt;=nt,SQRT(E6)*D6," ")</f>
        <v>4</v>
      </c>
      <c r="D25" s="99">
        <v>0.50445151348229544</v>
      </c>
      <c r="E25" s="106">
        <f t="shared" ref="E25:E30" si="8">IF(ROW(A6)&lt;=nt+5,C6,IF(A5=nt,"     ",""))</f>
        <v>0</v>
      </c>
      <c r="F25" s="144">
        <v>-0.40457011381280095</v>
      </c>
      <c r="G25" s="103">
        <v>0.64805847822246043</v>
      </c>
      <c r="H25" s="76">
        <v>0.53452248382484879</v>
      </c>
      <c r="I25" s="66" t="s">
        <v>19</v>
      </c>
      <c r="J25" s="16">
        <v>-1.5732072297144364E-2</v>
      </c>
      <c r="K25" s="16">
        <v>4.2104461253869574E-5</v>
      </c>
      <c r="L25" s="16" t="s">
        <v>19</v>
      </c>
      <c r="M25" s="16">
        <v>-7.3054098957416533E-3</v>
      </c>
      <c r="N25" s="47" t="s">
        <v>19</v>
      </c>
      <c r="O25" s="123">
        <v>2.5922339128898417</v>
      </c>
      <c r="P25" s="121">
        <v>1E-3</v>
      </c>
      <c r="Q25" s="125">
        <v>1.0304612815143031E-3</v>
      </c>
      <c r="R25" s="99">
        <v>-1.2408151991638334</v>
      </c>
      <c r="S25" s="141">
        <f t="shared" ref="S25:S30" si="9">Q25*H6</f>
        <v>-8.2642994777447115E-4</v>
      </c>
    </row>
    <row r="26" spans="1:22" x14ac:dyDescent="0.25">
      <c r="A26" s="28">
        <f t="shared" si="5"/>
        <v>2</v>
      </c>
      <c r="B26" s="79" t="str">
        <f t="shared" si="6"/>
        <v>ycfw</v>
      </c>
      <c r="C26" s="43">
        <f t="shared" si="7"/>
        <v>0.2449489742783178</v>
      </c>
      <c r="D26" s="99">
        <v>2.1365804370990605E-2</v>
      </c>
      <c r="E26" s="106">
        <f t="shared" si="8"/>
        <v>0</v>
      </c>
      <c r="F26" s="145">
        <v>0.42731608741981209</v>
      </c>
      <c r="G26" s="103">
        <v>0.6490327089872705</v>
      </c>
      <c r="H26" s="76">
        <v>0.6455948789203344</v>
      </c>
      <c r="I26" s="66">
        <v>3.3948445450734921</v>
      </c>
      <c r="J26" s="16">
        <v>1.5017203964102714</v>
      </c>
      <c r="K26" s="16">
        <v>0.66409678343859568</v>
      </c>
      <c r="L26" s="16" t="s">
        <v>19</v>
      </c>
      <c r="M26" s="108">
        <v>4.762287865272592</v>
      </c>
      <c r="N26" s="47" t="s">
        <v>19</v>
      </c>
      <c r="O26" s="123">
        <v>0.15897989633950985</v>
      </c>
      <c r="P26" s="121"/>
      <c r="Q26" s="125">
        <v>1.9455730834502881E-2</v>
      </c>
      <c r="R26" s="99">
        <v>20</v>
      </c>
      <c r="S26" s="141">
        <f t="shared" si="9"/>
        <v>0.38911461669005765</v>
      </c>
    </row>
    <row r="27" spans="1:22" x14ac:dyDescent="0.25">
      <c r="A27" s="28">
        <f t="shared" si="5"/>
        <v>3</v>
      </c>
      <c r="B27" s="79" t="str">
        <f t="shared" si="6"/>
        <v>yfd</v>
      </c>
      <c r="C27" s="43">
        <f t="shared" si="7"/>
        <v>0.90829510072442865</v>
      </c>
      <c r="D27" s="99">
        <v>-0.56231336376657581</v>
      </c>
      <c r="E27" s="106">
        <f t="shared" si="8"/>
        <v>0</v>
      </c>
      <c r="F27" s="145">
        <v>4.4985069101326065</v>
      </c>
      <c r="G27" s="103">
        <v>0.79932929291824806</v>
      </c>
      <c r="H27" s="76">
        <v>0.79692109152927537</v>
      </c>
      <c r="I27" s="66">
        <v>-3.3740891002756168</v>
      </c>
      <c r="J27" s="16">
        <v>-1.1691129334859434</v>
      </c>
      <c r="K27" s="16">
        <v>-0.48512776264721225</v>
      </c>
      <c r="L27" s="16" t="s">
        <v>19</v>
      </c>
      <c r="M27" s="16">
        <v>-2.6038817376488872</v>
      </c>
      <c r="N27" s="47" t="s">
        <v>19</v>
      </c>
      <c r="O27" s="123">
        <v>0.72602688062316645</v>
      </c>
      <c r="P27" s="121"/>
      <c r="Q27" s="125">
        <v>-0.60905942308374539</v>
      </c>
      <c r="R27" s="99">
        <v>-8</v>
      </c>
      <c r="S27" s="141">
        <f t="shared" si="9"/>
        <v>4.8724753846699631</v>
      </c>
    </row>
    <row r="28" spans="1:22" x14ac:dyDescent="0.25">
      <c r="A28" s="28">
        <f t="shared" si="5"/>
        <v>4</v>
      </c>
      <c r="B28" s="79" t="str">
        <f t="shared" si="6"/>
        <v>yss</v>
      </c>
      <c r="C28" s="43">
        <f t="shared" si="7"/>
        <v>4.8989794855663558</v>
      </c>
      <c r="D28" s="99">
        <v>-1.1219705466358512</v>
      </c>
      <c r="E28" s="106">
        <f t="shared" si="8"/>
        <v>0</v>
      </c>
      <c r="F28" s="145">
        <v>-0.37025028038983088</v>
      </c>
      <c r="G28" s="103">
        <v>0.25747854485577709</v>
      </c>
      <c r="H28" s="76">
        <v>0</v>
      </c>
      <c r="I28" s="66" t="s">
        <v>19</v>
      </c>
      <c r="J28" s="16" t="s">
        <v>19</v>
      </c>
      <c r="K28" s="16" t="s">
        <v>19</v>
      </c>
      <c r="L28" s="16" t="s">
        <v>19</v>
      </c>
      <c r="M28" s="16" t="s">
        <v>19</v>
      </c>
      <c r="N28" s="47" t="s">
        <v>19</v>
      </c>
      <c r="O28" s="123">
        <v>1.2613821092219288</v>
      </c>
      <c r="P28" s="121"/>
      <c r="Q28" s="125">
        <v>-1.169829915947918</v>
      </c>
      <c r="R28" s="99">
        <v>0.33</v>
      </c>
      <c r="S28" s="141">
        <f t="shared" si="9"/>
        <v>-0.38604387226281295</v>
      </c>
    </row>
    <row r="29" spans="1:22" x14ac:dyDescent="0.25">
      <c r="A29" s="28">
        <f t="shared" si="5"/>
        <v>5</v>
      </c>
      <c r="B29" s="79" t="str">
        <f t="shared" si="6"/>
        <v>nlw</v>
      </c>
      <c r="C29" s="43">
        <f t="shared" si="7"/>
        <v>0.16124515496597097</v>
      </c>
      <c r="D29" s="99">
        <v>1.5484396411404299E-2</v>
      </c>
      <c r="E29" s="106">
        <f t="shared" si="8"/>
        <v>0</v>
      </c>
      <c r="F29" s="145">
        <v>1.0953662021427399</v>
      </c>
      <c r="G29" s="103">
        <v>0.28337921604296595</v>
      </c>
      <c r="H29" s="76">
        <v>0.12429238247188161</v>
      </c>
      <c r="I29" s="66" t="s">
        <v>19</v>
      </c>
      <c r="J29" s="16">
        <v>1.888802113896537</v>
      </c>
      <c r="K29" s="16" t="s">
        <v>19</v>
      </c>
      <c r="L29" s="16" t="s">
        <v>19</v>
      </c>
      <c r="M29" s="16" t="s">
        <v>19</v>
      </c>
      <c r="N29" s="47" t="s">
        <v>19</v>
      </c>
      <c r="O29" s="123">
        <v>4.5693525604983423E-2</v>
      </c>
      <c r="P29" s="120"/>
      <c r="Q29" s="125">
        <v>8.1149999933844367E-3</v>
      </c>
      <c r="R29" s="99">
        <v>70.739999999999995</v>
      </c>
      <c r="S29" s="141">
        <f t="shared" si="9"/>
        <v>0.57405509953201506</v>
      </c>
    </row>
    <row r="30" spans="1:22" x14ac:dyDescent="0.25">
      <c r="A30" s="27">
        <f t="shared" si="5"/>
        <v>6</v>
      </c>
      <c r="B30" s="80" t="str">
        <f t="shared" si="6"/>
        <v>ywt</v>
      </c>
      <c r="C30" s="115">
        <f t="shared" si="7"/>
        <v>3.2939338791177941</v>
      </c>
      <c r="D30" s="100">
        <v>0.76339766297274103</v>
      </c>
      <c r="E30" s="116">
        <f t="shared" si="8"/>
        <v>0</v>
      </c>
      <c r="F30" s="146">
        <v>0.61071813037819289</v>
      </c>
      <c r="G30" s="104">
        <v>0.69429781184651518</v>
      </c>
      <c r="H30" s="77">
        <v>0.68849683073210799</v>
      </c>
      <c r="I30" s="67">
        <v>0.34993217643571051</v>
      </c>
      <c r="J30" s="26">
        <v>0.13143719679834792</v>
      </c>
      <c r="K30" s="26">
        <v>6.7119758655539513E-2</v>
      </c>
      <c r="L30" s="26" t="s">
        <v>19</v>
      </c>
      <c r="M30" s="26">
        <v>0.47431748917283045</v>
      </c>
      <c r="N30" s="48" t="s">
        <v>19</v>
      </c>
      <c r="O30" s="123">
        <v>2.286971084638588</v>
      </c>
      <c r="P30" s="120"/>
      <c r="Q30" s="125">
        <v>0.37098967451337966</v>
      </c>
      <c r="R30" s="99">
        <v>0.8</v>
      </c>
      <c r="S30" s="141">
        <f t="shared" si="9"/>
        <v>0.29679173961070376</v>
      </c>
    </row>
    <row r="31" spans="1:22" x14ac:dyDescent="0.25">
      <c r="A31" s="8"/>
      <c r="B31" s="23"/>
      <c r="C31" s="8"/>
      <c r="D31" s="8"/>
      <c r="E31" s="8"/>
      <c r="F31" s="8"/>
      <c r="G31" s="9"/>
      <c r="H31" s="9"/>
      <c r="I31" s="9"/>
      <c r="J31" s="9"/>
      <c r="K31" s="9"/>
      <c r="L31" s="9"/>
      <c r="M31" s="9"/>
      <c r="N31" s="9"/>
      <c r="O31" s="8"/>
      <c r="P31" s="8"/>
      <c r="Q31" s="8"/>
      <c r="R31" s="8"/>
      <c r="S31" s="142"/>
    </row>
    <row r="32" spans="1:22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143">
        <f>SUM(S25:S30)</f>
        <v>5.7455665382921524</v>
      </c>
    </row>
    <row r="33" spans="1:19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</row>
    <row r="34" spans="1:19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</row>
    <row r="35" spans="1:19" x14ac:dyDescent="0.25">
      <c r="A35" s="8"/>
      <c r="B35" s="8"/>
      <c r="C35" s="8" t="s">
        <v>42</v>
      </c>
      <c r="D35" s="8"/>
      <c r="E35" s="8"/>
      <c r="F35" s="8"/>
      <c r="G35" s="8"/>
      <c r="H35" s="8"/>
      <c r="I35" s="8" t="s">
        <v>46</v>
      </c>
      <c r="J35" s="8"/>
      <c r="K35" s="8"/>
      <c r="L35" s="8"/>
      <c r="M35" s="8"/>
      <c r="N35" s="8"/>
      <c r="O35" s="8"/>
      <c r="P35" s="8"/>
      <c r="Q35" s="8"/>
      <c r="R35" s="8"/>
      <c r="S35" s="8"/>
    </row>
    <row r="36" spans="1:19" x14ac:dyDescent="0.25">
      <c r="A36" s="8"/>
      <c r="B36" s="7">
        <v>16</v>
      </c>
      <c r="C36" s="7">
        <v>0.10183998554595342</v>
      </c>
      <c r="D36" s="7">
        <v>0.74916176274570467</v>
      </c>
      <c r="E36" s="7">
        <v>1.3521183380163141E-2</v>
      </c>
      <c r="F36" s="7">
        <v>0.22593026133211988</v>
      </c>
      <c r="G36" s="7">
        <v>10.485908847268876</v>
      </c>
      <c r="H36" s="7"/>
      <c r="I36" s="7">
        <v>269.99962356995394</v>
      </c>
      <c r="J36" s="7">
        <v>7.2567473076964471E-4</v>
      </c>
      <c r="K36" s="7">
        <v>18.705766949062998</v>
      </c>
      <c r="L36" s="7">
        <v>171.82635923467305</v>
      </c>
      <c r="M36" s="7">
        <v>410.79091517718695</v>
      </c>
      <c r="N36" s="7">
        <v>-5.492627028209875</v>
      </c>
      <c r="O36" s="7"/>
      <c r="P36" s="8"/>
      <c r="Q36" s="8"/>
      <c r="R36" s="8"/>
      <c r="S36" s="8"/>
    </row>
    <row r="37" spans="1:19" x14ac:dyDescent="0.25">
      <c r="A37" s="8"/>
      <c r="B37" s="7">
        <v>0.10394</v>
      </c>
      <c r="C37" s="7">
        <v>0.06</v>
      </c>
      <c r="D37" s="7">
        <v>6.6961595129148052E-2</v>
      </c>
      <c r="E37" s="7">
        <v>-7.1999999999999988E-5</v>
      </c>
      <c r="F37" s="7">
        <v>-3.9405996544719119E-3</v>
      </c>
      <c r="G37" s="7">
        <v>0.20193733999217731</v>
      </c>
      <c r="H37" s="7"/>
      <c r="I37" s="7">
        <v>9.8747321873684971E-6</v>
      </c>
      <c r="J37" s="7">
        <v>20.00185111969407</v>
      </c>
      <c r="K37" s="7">
        <v>11.878484372955231</v>
      </c>
      <c r="L37" s="7">
        <v>31.176387234795001</v>
      </c>
      <c r="M37" s="7">
        <v>335.40936250994486</v>
      </c>
      <c r="N37" s="7">
        <v>-0.3572799113814038</v>
      </c>
      <c r="O37" s="7"/>
      <c r="P37" s="8"/>
      <c r="Q37" s="8"/>
      <c r="R37" s="8"/>
      <c r="S37" s="8"/>
    </row>
    <row r="38" spans="1:19" x14ac:dyDescent="0.25">
      <c r="A38" s="8"/>
      <c r="B38" s="7">
        <v>0.20619999</v>
      </c>
      <c r="C38" s="7">
        <v>0.30096999000000002</v>
      </c>
      <c r="D38" s="7">
        <v>0.82499999000000002</v>
      </c>
      <c r="E38" s="7">
        <v>1.3568528345786974</v>
      </c>
      <c r="F38" s="7">
        <v>-9.3733237933531335E-5</v>
      </c>
      <c r="G38" s="7">
        <v>0.59406454665472241</v>
      </c>
      <c r="H38" s="7"/>
      <c r="I38" s="7">
        <v>0.29999019544905231</v>
      </c>
      <c r="J38" s="7">
        <v>0.69990493628247941</v>
      </c>
      <c r="K38" s="7">
        <v>14.400373549908565</v>
      </c>
      <c r="L38" s="7">
        <v>52.909059858735795</v>
      </c>
      <c r="M38" s="7">
        <v>94.868110382076821</v>
      </c>
      <c r="N38" s="7">
        <v>0.15091537485850098</v>
      </c>
      <c r="O38" s="7"/>
      <c r="P38" s="8"/>
      <c r="Q38" s="8"/>
      <c r="R38" s="8"/>
      <c r="S38" s="8"/>
    </row>
    <row r="39" spans="1:19" x14ac:dyDescent="0.25">
      <c r="A39" s="8"/>
      <c r="B39" s="7">
        <v>6.8999999999999997E-4</v>
      </c>
      <c r="C39" s="7">
        <v>-5.9999999999999995E-5</v>
      </c>
      <c r="D39" s="7">
        <v>0.30492999999999992</v>
      </c>
      <c r="E39" s="7">
        <v>23.999999999999996</v>
      </c>
      <c r="F39" s="7">
        <v>2.1328291070782013E-4</v>
      </c>
      <c r="G39" s="7">
        <v>2.2107572865835808E-2</v>
      </c>
      <c r="H39" s="7"/>
      <c r="I39" s="7">
        <v>0.59999898309434441</v>
      </c>
      <c r="J39" s="7">
        <v>0.39997513852285932</v>
      </c>
      <c r="K39" s="7">
        <v>0.79999168166146828</v>
      </c>
      <c r="L39" s="7">
        <v>303.74937210619595</v>
      </c>
      <c r="M39" s="7">
        <v>5.257358670567413E-6</v>
      </c>
      <c r="N39" s="7">
        <v>-4.0162413741918869E-3</v>
      </c>
      <c r="O39" s="7"/>
      <c r="P39" s="8"/>
      <c r="Q39" s="8"/>
      <c r="R39" s="8"/>
      <c r="S39" s="8"/>
    </row>
    <row r="40" spans="1:19" x14ac:dyDescent="0.25">
      <c r="A40" s="8"/>
      <c r="B40" s="7">
        <v>0.35028999999999999</v>
      </c>
      <c r="C40" s="7">
        <v>-9.9770010000000006E-2</v>
      </c>
      <c r="D40" s="7">
        <v>-6.4000000000000005E-4</v>
      </c>
      <c r="E40" s="7">
        <v>2.7E-4</v>
      </c>
      <c r="F40" s="7">
        <v>2.5999999999999992E-2</v>
      </c>
      <c r="G40" s="7">
        <v>0.15887187377378026</v>
      </c>
      <c r="H40" s="7"/>
      <c r="I40" s="7">
        <v>9.9999946605828408E-2</v>
      </c>
      <c r="J40" s="7">
        <v>0.29998573467058087</v>
      </c>
      <c r="K40" s="7">
        <v>9.9998592733620065E-2</v>
      </c>
      <c r="L40" s="7">
        <v>1.206619749257721E-9</v>
      </c>
      <c r="M40" s="7">
        <v>62499.848690708714</v>
      </c>
      <c r="N40" s="7">
        <v>31.374478567562157</v>
      </c>
      <c r="O40" s="7"/>
      <c r="P40" s="8"/>
      <c r="Q40" s="8"/>
      <c r="R40" s="8"/>
      <c r="S40" s="8"/>
    </row>
    <row r="41" spans="1:19" x14ac:dyDescent="0.25">
      <c r="A41" s="8"/>
      <c r="B41" s="7">
        <v>0.79584998000000007</v>
      </c>
      <c r="C41" s="7">
        <v>0.25027999000000001</v>
      </c>
      <c r="D41" s="7">
        <v>0.19856001000000001</v>
      </c>
      <c r="E41" s="7">
        <v>1.3699999999999997E-3</v>
      </c>
      <c r="F41" s="7">
        <v>0.29912000999999994</v>
      </c>
      <c r="G41" s="7">
        <v>10.850000399999999</v>
      </c>
      <c r="H41" s="7"/>
      <c r="I41" s="7">
        <v>-0.58626967323635548</v>
      </c>
      <c r="J41" s="7">
        <v>-0.14011105458947132</v>
      </c>
      <c r="K41" s="7">
        <v>6.9750207981024007E-2</v>
      </c>
      <c r="L41" s="7">
        <v>-4.0416714867474177E-4</v>
      </c>
      <c r="M41" s="7">
        <v>0.22010805334488723</v>
      </c>
      <c r="N41" s="7">
        <v>0.32508894551389672</v>
      </c>
      <c r="O41" s="7"/>
      <c r="P41" s="8"/>
      <c r="Q41" s="8"/>
      <c r="R41" s="8"/>
      <c r="S41" s="8"/>
    </row>
    <row r="42" spans="1:19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</row>
    <row r="43" spans="1:19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</row>
    <row r="44" spans="1:19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</row>
    <row r="45" spans="1:19" x14ac:dyDescent="0.25">
      <c r="A45" s="8"/>
      <c r="B45" s="8"/>
      <c r="C45" s="8" t="s">
        <v>43</v>
      </c>
      <c r="D45" s="8"/>
      <c r="E45" s="8"/>
      <c r="F45" s="8"/>
      <c r="G45" s="8"/>
      <c r="H45" s="8"/>
      <c r="I45" s="8" t="s">
        <v>45</v>
      </c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x14ac:dyDescent="0.25">
      <c r="A46" s="8"/>
      <c r="B46" s="7">
        <v>24.000000000000007</v>
      </c>
      <c r="C46" s="7">
        <v>0.64318153179385529</v>
      </c>
      <c r="D46" s="7">
        <v>0.44691757501431251</v>
      </c>
      <c r="E46" s="7">
        <v>1.3731740458108515</v>
      </c>
      <c r="F46" s="7">
        <v>0.37893039050223731</v>
      </c>
      <c r="G46" s="7">
        <v>10.940177043472724</v>
      </c>
      <c r="H46" s="7"/>
      <c r="I46" s="7">
        <v>629.9998928706691</v>
      </c>
      <c r="J46" s="7">
        <v>6.1926298006279939E-6</v>
      </c>
      <c r="K46" s="7">
        <v>53.293840613937761</v>
      </c>
      <c r="L46" s="7">
        <v>30.673047151825266</v>
      </c>
      <c r="M46" s="7">
        <v>1089.2078883046534</v>
      </c>
      <c r="N46" s="7">
        <v>6.9986890564603517</v>
      </c>
      <c r="O46" s="7"/>
      <c r="P46" s="8"/>
      <c r="Q46" s="8"/>
      <c r="R46" s="8"/>
      <c r="S46" s="8"/>
    </row>
    <row r="47" spans="1:19" x14ac:dyDescent="0.25">
      <c r="A47" s="8"/>
      <c r="B47" s="7">
        <v>0.34052807521128131</v>
      </c>
      <c r="C47" s="7">
        <v>0.14864490999999996</v>
      </c>
      <c r="D47" s="7">
        <v>0.1058193792913112</v>
      </c>
      <c r="E47" s="7">
        <v>0.56915934870564477</v>
      </c>
      <c r="F47" s="7">
        <v>9.2200079955426749E-3</v>
      </c>
      <c r="G47" s="7">
        <v>0.55060938865496001</v>
      </c>
      <c r="H47" s="7"/>
      <c r="I47" s="7">
        <v>2.7584168924544216E-8</v>
      </c>
      <c r="J47" s="7">
        <v>79.999993857816435</v>
      </c>
      <c r="K47" s="7">
        <v>0.12060449220101906</v>
      </c>
      <c r="L47" s="7">
        <v>13.823083565644742</v>
      </c>
      <c r="M47" s="7">
        <v>1164.5895963819585</v>
      </c>
      <c r="N47" s="7">
        <v>0.87364392478849617</v>
      </c>
      <c r="O47" s="7"/>
      <c r="P47" s="8"/>
      <c r="Q47" s="8"/>
      <c r="R47" s="8"/>
      <c r="S47" s="8"/>
    </row>
    <row r="48" spans="1:19" x14ac:dyDescent="0.25">
      <c r="A48" s="8"/>
      <c r="B48" s="7">
        <v>0.1110375337976465</v>
      </c>
      <c r="C48" s="7">
        <v>0.33407054309676243</v>
      </c>
      <c r="D48" s="7">
        <v>0.67500036999999979</v>
      </c>
      <c r="E48" s="7">
        <v>1.4076313024218579</v>
      </c>
      <c r="F48" s="7">
        <v>1.937027811695663E-2</v>
      </c>
      <c r="G48" s="7">
        <v>0.76179315772288947</v>
      </c>
      <c r="H48" s="7"/>
      <c r="I48" s="7">
        <v>0.18651094314864597</v>
      </c>
      <c r="J48" s="7">
        <v>1.1844481253295873E-3</v>
      </c>
      <c r="K48" s="7">
        <v>129.59997728652735</v>
      </c>
      <c r="L48" s="7">
        <v>55.091011664198319</v>
      </c>
      <c r="M48" s="7">
        <v>505.13158051946647</v>
      </c>
      <c r="N48" s="7">
        <v>0.14135595405147572</v>
      </c>
      <c r="O48" s="7"/>
      <c r="P48" s="8"/>
      <c r="Q48" s="8"/>
      <c r="R48" s="8"/>
      <c r="S48" s="8"/>
    </row>
    <row r="49" spans="1:19" x14ac:dyDescent="0.25">
      <c r="A49" s="8"/>
      <c r="B49" s="7">
        <v>3.7456392900458234E-2</v>
      </c>
      <c r="C49" s="7">
        <v>0.19727172356756262</v>
      </c>
      <c r="D49" s="7">
        <v>0.22895118570344603</v>
      </c>
      <c r="E49" s="7">
        <v>56.000000000000014</v>
      </c>
      <c r="F49" s="7">
        <v>-9.4977212886759241E-2</v>
      </c>
      <c r="G49" s="7">
        <v>1.7680471476847137</v>
      </c>
      <c r="H49" s="7"/>
      <c r="I49" s="7">
        <v>2.9455387899618133E-2</v>
      </c>
      <c r="J49" s="7">
        <v>3.7251007098741656E-2</v>
      </c>
      <c r="K49" s="7">
        <v>0.11664237310188699</v>
      </c>
      <c r="L49" s="7">
        <v>1721.2496943551159</v>
      </c>
      <c r="M49" s="7">
        <v>-1.1677025253423441E-8</v>
      </c>
      <c r="N49" s="7">
        <v>2.2499635883957527</v>
      </c>
      <c r="O49" s="7"/>
      <c r="P49" s="8"/>
      <c r="Q49" s="8"/>
      <c r="R49" s="8"/>
      <c r="S49" s="8"/>
    </row>
    <row r="50" spans="1:19" x14ac:dyDescent="0.25">
      <c r="A50" s="8"/>
      <c r="B50" s="7">
        <v>0.12310980324053314</v>
      </c>
      <c r="C50" s="7">
        <v>3.8062306060922785E-2</v>
      </c>
      <c r="D50" s="7">
        <v>3.7525170270237634E-2</v>
      </c>
      <c r="E50" s="7">
        <v>-2.020059809655907E-2</v>
      </c>
      <c r="F50" s="7">
        <v>0.3947502</v>
      </c>
      <c r="G50" s="7">
        <v>0.31069450897463735</v>
      </c>
      <c r="H50" s="7"/>
      <c r="I50" s="7">
        <v>0.10021666417741795</v>
      </c>
      <c r="J50" s="7">
        <v>0.30069577904107031</v>
      </c>
      <c r="K50" s="7">
        <v>0.10247111480403419</v>
      </c>
      <c r="L50" s="7">
        <v>-6.4999449691960365E-13</v>
      </c>
      <c r="M50" s="117">
        <v>187499.96670116682</v>
      </c>
      <c r="N50" s="7">
        <v>-31.374734482613814</v>
      </c>
      <c r="O50" s="7"/>
      <c r="P50" s="8"/>
      <c r="Q50" s="8"/>
      <c r="R50" s="8"/>
      <c r="S50" s="8"/>
    </row>
    <row r="51" spans="1:19" x14ac:dyDescent="0.25">
      <c r="A51" s="8"/>
      <c r="B51" s="7">
        <v>0.49815345750995116</v>
      </c>
      <c r="C51" s="7">
        <v>0.31857596761687279</v>
      </c>
      <c r="D51" s="7">
        <v>0.20683759613948732</v>
      </c>
      <c r="E51" s="7">
        <v>5.2704081379525716E-2</v>
      </c>
      <c r="F51" s="7">
        <v>0.11031049111723547</v>
      </c>
      <c r="G51" s="7">
        <v>20.096071199999997</v>
      </c>
      <c r="H51" s="7"/>
      <c r="I51" s="7">
        <v>0.84557254240746349</v>
      </c>
      <c r="J51" s="7">
        <v>0.29620603006051377</v>
      </c>
      <c r="K51" s="7">
        <v>3.7654427981092017E-2</v>
      </c>
      <c r="L51" s="7">
        <v>0.16445912031666496</v>
      </c>
      <c r="M51" s="7">
        <v>-0.21972722594741867</v>
      </c>
      <c r="N51" s="7">
        <v>0.10874046299851865</v>
      </c>
      <c r="O51" s="7"/>
      <c r="P51" s="8"/>
      <c r="Q51" s="8"/>
      <c r="R51" s="8"/>
      <c r="S51" s="8"/>
    </row>
    <row r="52" spans="1:19" x14ac:dyDescent="0.25">
      <c r="A52" s="8"/>
      <c r="B52" s="8"/>
      <c r="C52" s="8"/>
      <c r="D52" s="8"/>
      <c r="E52" s="8"/>
      <c r="F52" s="8"/>
      <c r="G52" s="8"/>
      <c r="H52" s="8"/>
      <c r="I52" s="8"/>
      <c r="J52" s="7"/>
      <c r="K52" s="7"/>
      <c r="L52" s="7"/>
      <c r="M52" s="7"/>
      <c r="N52" s="7"/>
      <c r="O52" s="7"/>
      <c r="P52" s="8"/>
      <c r="Q52" s="8"/>
      <c r="R52" s="8"/>
      <c r="S52" s="8"/>
    </row>
    <row r="53" spans="1:19" x14ac:dyDescent="0.25">
      <c r="A53" s="8"/>
      <c r="B53" s="8"/>
      <c r="C53" s="8"/>
      <c r="D53" s="8"/>
      <c r="E53" s="8"/>
      <c r="F53" s="8"/>
      <c r="G53" s="8"/>
      <c r="H53" s="8"/>
      <c r="I53" s="8"/>
      <c r="J53" s="7"/>
      <c r="K53" s="7"/>
      <c r="L53" s="7"/>
      <c r="M53" s="7"/>
      <c r="N53" s="7"/>
      <c r="O53" s="7"/>
      <c r="P53" s="8"/>
      <c r="Q53" s="8"/>
      <c r="R53" s="8"/>
      <c r="S53" s="8"/>
    </row>
    <row r="54" spans="1:19" x14ac:dyDescent="0.25">
      <c r="P54" s="8"/>
      <c r="Q54" s="8"/>
      <c r="R54" s="8"/>
      <c r="S54" s="8"/>
    </row>
    <row r="100" spans="1:6" x14ac:dyDescent="0.25">
      <c r="A100">
        <v>6</v>
      </c>
    </row>
    <row r="101" spans="1:6" x14ac:dyDescent="0.25">
      <c r="A101">
        <v>6.719676659136181</v>
      </c>
      <c r="B101">
        <v>3.0459234668988432E-2</v>
      </c>
      <c r="C101">
        <v>0.46852930107784874</v>
      </c>
      <c r="D101">
        <v>0.34029726773278079</v>
      </c>
      <c r="E101">
        <v>0.10043374307075834</v>
      </c>
      <c r="F101">
        <v>5.3323321026129298</v>
      </c>
    </row>
    <row r="102" spans="1:6" x14ac:dyDescent="0.25">
      <c r="A102">
        <v>3.0459234668988429E-2</v>
      </c>
      <c r="B102">
        <v>2.5274607440121291E-2</v>
      </c>
      <c r="C102">
        <v>3.5954169542964751E-2</v>
      </c>
      <c r="D102">
        <v>1.5425329399981449E-2</v>
      </c>
      <c r="E102">
        <v>-1.9280255297021011E-3</v>
      </c>
      <c r="F102">
        <v>7.876131833831522E-2</v>
      </c>
    </row>
    <row r="103" spans="1:6" x14ac:dyDescent="0.25">
      <c r="A103">
        <v>0.46852930107784857</v>
      </c>
      <c r="B103">
        <v>3.5954169542964744E-2</v>
      </c>
      <c r="C103">
        <v>0.52711503138740567</v>
      </c>
      <c r="D103">
        <v>0.8807744495683395</v>
      </c>
      <c r="E103">
        <v>1.893005393702608E-4</v>
      </c>
      <c r="F103">
        <v>0.34504051801131302</v>
      </c>
    </row>
    <row r="104" spans="1:6" x14ac:dyDescent="0.25">
      <c r="A104">
        <v>0.34029726773278041</v>
      </c>
      <c r="B104">
        <v>1.5425329399981426E-2</v>
      </c>
      <c r="C104">
        <v>0.88077444956833939</v>
      </c>
      <c r="D104">
        <v>1.5910848254651619</v>
      </c>
      <c r="E104">
        <v>-2.7196864309542669E-3</v>
      </c>
      <c r="F104">
        <v>0.13307626482301035</v>
      </c>
    </row>
    <row r="105" spans="1:6" x14ac:dyDescent="0.25">
      <c r="A105">
        <v>0.10043374307075828</v>
      </c>
      <c r="B105">
        <v>-1.9280255297021024E-3</v>
      </c>
      <c r="C105">
        <v>1.8930053937026142E-4</v>
      </c>
      <c r="D105">
        <v>-2.7196864309542673E-3</v>
      </c>
      <c r="E105">
        <v>2.0878982822132757E-3</v>
      </c>
      <c r="F105">
        <v>8.0644756026599568E-2</v>
      </c>
    </row>
    <row r="106" spans="1:6" x14ac:dyDescent="0.25">
      <c r="A106">
        <v>5.3323321026129271</v>
      </c>
      <c r="B106">
        <v>7.8761318338315178E-2</v>
      </c>
      <c r="C106">
        <v>0.34504051801131291</v>
      </c>
      <c r="D106">
        <v>0.13307626482301041</v>
      </c>
      <c r="E106">
        <v>8.0644756026599568E-2</v>
      </c>
      <c r="F106">
        <v>5.2302367419730009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6"/>
  <sheetViews>
    <sheetView tabSelected="1" zoomScaleNormal="100" workbookViewId="0">
      <pane ySplit="13224" topLeftCell="A37"/>
      <selection activeCell="P7" sqref="P7"/>
      <selection pane="bottomLeft" activeCell="A29" sqref="A29"/>
    </sheetView>
  </sheetViews>
  <sheetFormatPr defaultRowHeight="13.2" x14ac:dyDescent="0.25"/>
  <cols>
    <col min="1" max="1" width="9.5546875" customWidth="1"/>
    <col min="3" max="3" width="10.6640625" customWidth="1"/>
    <col min="4" max="4" width="10.33203125" customWidth="1"/>
    <col min="6" max="6" width="10.6640625" customWidth="1"/>
    <col min="7" max="7" width="10.88671875" customWidth="1"/>
    <col min="8" max="8" width="12.5546875" customWidth="1"/>
    <col min="9" max="9" width="9.6640625" customWidth="1"/>
    <col min="10" max="10" width="11.6640625" customWidth="1"/>
    <col min="11" max="11" width="10.109375" customWidth="1"/>
    <col min="12" max="12" width="9.33203125" customWidth="1"/>
    <col min="13" max="13" width="8.109375" customWidth="1"/>
    <col min="14" max="14" width="10" customWidth="1"/>
    <col min="15" max="15" width="9" customWidth="1"/>
    <col min="16" max="16" width="7.44140625" customWidth="1"/>
    <col min="19" max="33" width="9.44140625" bestFit="1" customWidth="1"/>
  </cols>
  <sheetData>
    <row r="1" spans="1:26" ht="18.75" customHeight="1" x14ac:dyDescent="0.3">
      <c r="A1" s="93" t="s">
        <v>36</v>
      </c>
      <c r="B1" s="94" t="s">
        <v>37</v>
      </c>
      <c r="C1" s="4"/>
      <c r="D1" s="68"/>
      <c r="E1" s="69"/>
      <c r="F1" s="89"/>
      <c r="G1" s="90"/>
      <c r="I1" s="8"/>
      <c r="J1" s="8"/>
      <c r="K1" s="8"/>
      <c r="L1" s="8"/>
      <c r="M1" s="8"/>
      <c r="N1" s="8"/>
      <c r="Q1" s="8"/>
      <c r="R1" s="8"/>
      <c r="S1" s="8"/>
    </row>
    <row r="2" spans="1:26" ht="18" thickBot="1" x14ac:dyDescent="0.35">
      <c r="A2" s="4"/>
      <c r="B2" s="88" t="s">
        <v>21</v>
      </c>
      <c r="C2" s="87"/>
      <c r="D2" s="118" t="s">
        <v>41</v>
      </c>
      <c r="E2" s="24"/>
      <c r="F2" s="24"/>
      <c r="G2" s="24"/>
      <c r="H2" s="55"/>
      <c r="I2" s="95" t="s">
        <v>40</v>
      </c>
      <c r="J2" s="56"/>
      <c r="K2" s="8"/>
      <c r="L2" s="8"/>
      <c r="M2" s="8"/>
      <c r="N2" s="8"/>
      <c r="O2" s="8"/>
      <c r="P2" s="8"/>
      <c r="Q2" s="8"/>
      <c r="R2" s="8"/>
      <c r="S2" s="8"/>
    </row>
    <row r="3" spans="1:26" ht="15.6" thickBot="1" x14ac:dyDescent="0.3">
      <c r="A3" s="83">
        <v>2</v>
      </c>
      <c r="B3" s="85" t="s">
        <v>27</v>
      </c>
      <c r="C3" s="84"/>
      <c r="D3" s="31"/>
      <c r="E3" s="22"/>
      <c r="F3" s="18" t="s">
        <v>20</v>
      </c>
      <c r="G3" s="22"/>
      <c r="H3" s="22"/>
      <c r="I3" s="96"/>
      <c r="J3" s="71">
        <v>6.5285490257867078</v>
      </c>
      <c r="K3" s="8"/>
      <c r="M3" s="72"/>
      <c r="N3" s="72"/>
      <c r="O3" s="8"/>
      <c r="P3" s="8"/>
      <c r="Q3" s="8"/>
      <c r="R3" s="8"/>
      <c r="S3" s="8"/>
    </row>
    <row r="4" spans="1:26" x14ac:dyDescent="0.25">
      <c r="A4" s="2"/>
      <c r="B4" s="2"/>
      <c r="C4" s="2"/>
      <c r="D4" s="32" t="s">
        <v>5</v>
      </c>
      <c r="E4" s="3" t="s">
        <v>33</v>
      </c>
      <c r="F4" s="3" t="s">
        <v>32</v>
      </c>
      <c r="G4" s="3" t="s">
        <v>18</v>
      </c>
      <c r="H4" s="3" t="s">
        <v>4</v>
      </c>
      <c r="I4" s="112" t="s">
        <v>35</v>
      </c>
      <c r="J4" s="81"/>
      <c r="K4" s="6"/>
      <c r="L4" s="6"/>
      <c r="M4" s="6"/>
      <c r="N4" s="6"/>
      <c r="O4" s="6"/>
      <c r="P4" s="6"/>
      <c r="Q4" s="6"/>
      <c r="R4" s="6"/>
      <c r="S4" s="59"/>
      <c r="T4" s="12"/>
      <c r="U4" s="12"/>
      <c r="V4" s="1"/>
      <c r="W4" s="1"/>
      <c r="X4" s="1"/>
    </row>
    <row r="5" spans="1:26" x14ac:dyDescent="0.25">
      <c r="A5" s="2" t="s">
        <v>0</v>
      </c>
      <c r="B5" s="33" t="s">
        <v>3</v>
      </c>
      <c r="C5" s="15" t="s">
        <v>7</v>
      </c>
      <c r="D5" s="36" t="s">
        <v>2</v>
      </c>
      <c r="E5" s="34" t="s">
        <v>30</v>
      </c>
      <c r="F5" s="34" t="s">
        <v>30</v>
      </c>
      <c r="G5" s="35" t="s">
        <v>17</v>
      </c>
      <c r="H5" s="15" t="s">
        <v>34</v>
      </c>
      <c r="I5" s="113" t="s">
        <v>38</v>
      </c>
      <c r="J5" s="45" t="s">
        <v>39</v>
      </c>
      <c r="K5" s="6"/>
      <c r="L5" s="6"/>
      <c r="M5" s="6"/>
      <c r="N5" s="6"/>
      <c r="O5" s="6"/>
      <c r="P5" s="6"/>
      <c r="Q5" s="6"/>
      <c r="R5" s="6"/>
      <c r="S5" s="8"/>
      <c r="T5" s="12"/>
      <c r="U5" s="12"/>
      <c r="V5" s="1"/>
      <c r="W5" s="1"/>
      <c r="X5" s="1"/>
    </row>
    <row r="6" spans="1:26" x14ac:dyDescent="0.25">
      <c r="A6" s="3">
        <f t="shared" ref="A6:A11" si="0">IF(ROW(A6)&lt;=nt+5,ROW(A6)-5,IF(A5=nt,"     ",""))</f>
        <v>1</v>
      </c>
      <c r="B6" s="126" t="s">
        <v>64</v>
      </c>
      <c r="C6" s="127" t="s">
        <v>66</v>
      </c>
      <c r="D6" s="128">
        <v>6.324555320336759</v>
      </c>
      <c r="E6" s="128">
        <v>0.3</v>
      </c>
      <c r="F6" s="129">
        <v>0.4</v>
      </c>
      <c r="G6" s="129">
        <v>0</v>
      </c>
      <c r="H6" s="130">
        <v>2</v>
      </c>
      <c r="I6" s="43">
        <f>IF($A6&lt;=nt,SQRT(E6)*D6," ")</f>
        <v>3.4641016151377544</v>
      </c>
      <c r="J6" s="97">
        <f>IF($A6&lt;=nt,H6*I6," ")</f>
        <v>6.9282032302755088</v>
      </c>
      <c r="K6" s="6"/>
      <c r="L6" s="6"/>
      <c r="M6" s="6"/>
      <c r="N6" s="6"/>
      <c r="O6" s="6"/>
      <c r="P6" s="6"/>
      <c r="Q6" s="6"/>
      <c r="R6" s="6"/>
      <c r="S6" s="7"/>
      <c r="T6" s="12"/>
      <c r="U6" s="11"/>
      <c r="V6" s="13"/>
      <c r="W6" s="1"/>
      <c r="X6" s="1"/>
    </row>
    <row r="7" spans="1:26" x14ac:dyDescent="0.25">
      <c r="A7" s="3">
        <f t="shared" si="0"/>
        <v>2</v>
      </c>
      <c r="B7" s="126" t="s">
        <v>65</v>
      </c>
      <c r="C7" s="127" t="s">
        <v>66</v>
      </c>
      <c r="D7" s="128">
        <v>4.5999999999999996</v>
      </c>
      <c r="E7" s="128">
        <v>0.15</v>
      </c>
      <c r="F7" s="129">
        <v>0.3</v>
      </c>
      <c r="G7" s="129">
        <v>0</v>
      </c>
      <c r="H7" s="131">
        <v>-0.5</v>
      </c>
      <c r="I7" s="43">
        <f>IF($A7&lt;=nt,SQRT(E7)*D7," ")</f>
        <v>1.7815723392554117</v>
      </c>
      <c r="J7" s="97">
        <f>IF($A7&lt;=nt,H7*I7," ")</f>
        <v>-0.89078616962770585</v>
      </c>
      <c r="K7" s="6"/>
      <c r="L7" s="6"/>
      <c r="M7" s="6"/>
      <c r="N7" s="6"/>
      <c r="O7" s="6"/>
      <c r="P7" s="6"/>
      <c r="Q7" s="6"/>
      <c r="R7" s="6"/>
      <c r="S7" s="7"/>
      <c r="T7" s="12"/>
      <c r="U7" s="11"/>
      <c r="V7" s="13"/>
      <c r="W7" s="1"/>
      <c r="X7" s="1"/>
    </row>
    <row r="8" spans="1:26" x14ac:dyDescent="0.25">
      <c r="A8" s="3" t="str">
        <f t="shared" si="0"/>
        <v xml:space="preserve">     </v>
      </c>
      <c r="B8" s="126"/>
      <c r="C8" s="127"/>
      <c r="D8" s="128"/>
      <c r="E8" s="128"/>
      <c r="F8" s="128"/>
      <c r="G8" s="128"/>
      <c r="H8" s="128"/>
      <c r="I8" s="43"/>
      <c r="J8" s="97"/>
      <c r="K8" s="6"/>
      <c r="L8" s="6"/>
      <c r="M8" s="6"/>
      <c r="N8" s="6"/>
      <c r="O8" s="6"/>
      <c r="P8" s="6"/>
      <c r="Q8" s="6"/>
      <c r="R8" s="6"/>
      <c r="S8" s="7"/>
      <c r="T8" s="12"/>
      <c r="U8" s="11"/>
      <c r="V8" s="13"/>
      <c r="W8" s="1"/>
      <c r="X8" s="1"/>
    </row>
    <row r="9" spans="1:26" x14ac:dyDescent="0.25">
      <c r="A9" s="3" t="str">
        <f t="shared" si="0"/>
        <v/>
      </c>
      <c r="B9" s="126"/>
      <c r="C9" s="127"/>
      <c r="D9" s="128"/>
      <c r="E9" s="128"/>
      <c r="F9" s="128"/>
      <c r="G9" s="128"/>
      <c r="H9" s="128"/>
      <c r="I9" s="43"/>
      <c r="J9" s="97"/>
      <c r="K9" s="6"/>
      <c r="L9" s="6"/>
      <c r="M9" s="6"/>
      <c r="N9" s="6"/>
      <c r="O9" s="6"/>
      <c r="P9" s="6"/>
      <c r="Q9" s="6"/>
      <c r="R9" s="6"/>
      <c r="S9" s="7"/>
      <c r="T9" s="12"/>
      <c r="U9" s="11"/>
      <c r="V9" s="13"/>
      <c r="W9" s="1"/>
      <c r="X9" s="1"/>
    </row>
    <row r="10" spans="1:26" x14ac:dyDescent="0.25">
      <c r="A10" s="3" t="str">
        <f t="shared" si="0"/>
        <v/>
      </c>
      <c r="B10" s="126"/>
      <c r="C10" s="127"/>
      <c r="D10" s="128"/>
      <c r="E10" s="128"/>
      <c r="F10" s="128"/>
      <c r="G10" s="128"/>
      <c r="H10" s="128"/>
      <c r="I10" s="43"/>
      <c r="J10" s="97"/>
      <c r="K10" s="6"/>
      <c r="L10" s="6"/>
      <c r="M10" s="6"/>
      <c r="N10" s="6"/>
      <c r="O10" s="6"/>
      <c r="P10" s="6"/>
      <c r="Q10" s="6"/>
      <c r="R10" s="6"/>
      <c r="S10" s="7"/>
      <c r="T10" s="12"/>
      <c r="U10" s="11"/>
      <c r="V10" s="13"/>
      <c r="W10" s="1" t="str">
        <f>IF(COLUMN(W10)&lt;=nt+3,COLUMN(W10)-3,IF(V10=nt,"Phenotypic Correlation",""))</f>
        <v/>
      </c>
      <c r="X10" s="1" t="str">
        <f>IF(COLUMN(X10)&lt;=nt+3,COLUMN(X10)-3,IF(W10=nt,"Phenotypic Correlation",""))</f>
        <v/>
      </c>
      <c r="Y10" t="str">
        <f>IF(COLUMN(Y10)&lt;=nt+3,COLUMN(Y10)-3,IF(X10=nt,"Correlation structure",""))</f>
        <v/>
      </c>
      <c r="Z10" t="str">
        <f>IF(COLUMN(Z10)&lt;=nt+3,COLUMN(Z10)-3,IF(Y10=nt,"Correlation structure",""))</f>
        <v/>
      </c>
    </row>
    <row r="11" spans="1:26" x14ac:dyDescent="0.25">
      <c r="A11" s="15" t="str">
        <f t="shared" si="0"/>
        <v/>
      </c>
      <c r="B11" s="126"/>
      <c r="C11" s="127"/>
      <c r="D11" s="128"/>
      <c r="E11" s="128"/>
      <c r="F11" s="128"/>
      <c r="G11" s="128"/>
      <c r="H11" s="128"/>
      <c r="I11" s="43"/>
      <c r="J11" s="97"/>
      <c r="K11" s="6"/>
      <c r="L11" s="6"/>
      <c r="M11" s="6"/>
      <c r="N11" s="6"/>
      <c r="O11" s="6"/>
      <c r="P11" s="6"/>
      <c r="Q11" s="6"/>
      <c r="R11" s="6"/>
      <c r="S11" s="8"/>
      <c r="T11" s="12"/>
      <c r="U11" s="12"/>
      <c r="V11" s="1"/>
      <c r="W11" s="1"/>
      <c r="X11" s="1"/>
    </row>
    <row r="12" spans="1:26" x14ac:dyDescent="0.25">
      <c r="A12" s="1"/>
      <c r="B12" s="6"/>
      <c r="C12" s="29"/>
      <c r="D12" s="30" t="s">
        <v>25</v>
      </c>
      <c r="E12" s="29"/>
      <c r="F12" s="29"/>
      <c r="G12" s="29"/>
      <c r="H12" s="39"/>
      <c r="I12" s="38"/>
      <c r="J12" s="62" t="s">
        <v>26</v>
      </c>
      <c r="K12" s="37"/>
      <c r="L12" s="22"/>
      <c r="M12" s="22"/>
      <c r="N12" s="73"/>
      <c r="O12" s="58"/>
      <c r="P12" s="6"/>
      <c r="Q12" s="6"/>
      <c r="R12" s="6"/>
      <c r="S12" s="8"/>
      <c r="T12" s="12"/>
      <c r="U12" s="12"/>
      <c r="V12" s="1"/>
    </row>
    <row r="13" spans="1:26" x14ac:dyDescent="0.25">
      <c r="A13" s="20" t="s">
        <v>1</v>
      </c>
      <c r="B13" s="21"/>
      <c r="C13" s="19">
        <f t="shared" ref="C13:H13" si="1">IF(COLUMN(C13)&lt;=nt+2,COLUMN(C13)-2,IF(B13=nt,"Phenotypic",""))</f>
        <v>1</v>
      </c>
      <c r="D13" s="19">
        <f t="shared" si="1"/>
        <v>2</v>
      </c>
      <c r="E13" s="19" t="str">
        <f t="shared" si="1"/>
        <v>Phenotypic</v>
      </c>
      <c r="F13" s="19" t="str">
        <f t="shared" si="1"/>
        <v/>
      </c>
      <c r="G13" s="19" t="str">
        <f t="shared" si="1"/>
        <v/>
      </c>
      <c r="H13" s="40" t="str">
        <f t="shared" si="1"/>
        <v/>
      </c>
      <c r="I13" s="82" t="s">
        <v>11</v>
      </c>
      <c r="J13" s="15" t="s">
        <v>13</v>
      </c>
      <c r="K13" s="15" t="s">
        <v>12</v>
      </c>
      <c r="L13" s="15" t="s">
        <v>14</v>
      </c>
      <c r="M13" s="15" t="s">
        <v>15</v>
      </c>
      <c r="N13" s="74" t="s">
        <v>16</v>
      </c>
      <c r="O13" s="6"/>
      <c r="P13" s="6"/>
      <c r="Q13" s="6"/>
      <c r="R13" s="6"/>
      <c r="S13" s="8"/>
      <c r="T13" s="12"/>
      <c r="U13" s="12"/>
      <c r="V13" s="1"/>
    </row>
    <row r="14" spans="1:26" x14ac:dyDescent="0.25">
      <c r="A14" s="3" t="str">
        <f>IF(ROW(A6)&lt;=nt+5,$B6,IF(A13=nt," Genetic Correlation   ",""))</f>
        <v>weight</v>
      </c>
      <c r="B14" s="19">
        <f t="shared" ref="B14:B20" si="2">IF(ROW(B14)&lt;=nt+13,ROW(B14)-13,IF(B13=nt," Genetic   ",""))</f>
        <v>1</v>
      </c>
      <c r="C14" s="132">
        <v>1</v>
      </c>
      <c r="D14" s="128">
        <v>0.25789024999999999</v>
      </c>
      <c r="E14" s="128"/>
      <c r="F14" s="128"/>
      <c r="G14" s="128"/>
      <c r="H14" s="129"/>
      <c r="I14" s="126">
        <v>0</v>
      </c>
      <c r="J14" s="133">
        <v>1</v>
      </c>
      <c r="K14" s="133">
        <v>1</v>
      </c>
      <c r="L14" s="133">
        <v>0</v>
      </c>
      <c r="M14" s="133">
        <v>20</v>
      </c>
      <c r="N14" s="127">
        <v>0</v>
      </c>
      <c r="O14" s="58"/>
      <c r="P14" s="6"/>
      <c r="Q14" s="6"/>
      <c r="R14" s="6"/>
      <c r="S14" s="8"/>
      <c r="T14" s="12"/>
      <c r="U14" s="12"/>
      <c r="V14" s="1"/>
    </row>
    <row r="15" spans="1:26" x14ac:dyDescent="0.25">
      <c r="A15" s="3" t="str">
        <f>IF(ROW(A7)&lt;=nt+5,$B7,IF(A14=nt," Genetic Correlation   ",""))</f>
        <v>feed intake</v>
      </c>
      <c r="B15" s="19">
        <f t="shared" si="2"/>
        <v>2</v>
      </c>
      <c r="C15" s="128">
        <v>0.5</v>
      </c>
      <c r="D15" s="132">
        <v>1</v>
      </c>
      <c r="E15" s="128"/>
      <c r="F15" s="128"/>
      <c r="G15" s="129"/>
      <c r="H15" s="129"/>
      <c r="I15" s="126">
        <v>1</v>
      </c>
      <c r="J15" s="133">
        <v>1</v>
      </c>
      <c r="K15" s="133">
        <v>1</v>
      </c>
      <c r="L15" s="133">
        <v>0</v>
      </c>
      <c r="M15" s="133">
        <v>20</v>
      </c>
      <c r="N15" s="127">
        <v>0</v>
      </c>
      <c r="O15" s="6"/>
      <c r="P15" s="6"/>
      <c r="Q15" s="6"/>
      <c r="R15" s="6"/>
      <c r="S15" s="8"/>
      <c r="T15" s="12"/>
      <c r="U15" s="12"/>
      <c r="V15" s="1"/>
    </row>
    <row r="16" spans="1:26" x14ac:dyDescent="0.25">
      <c r="A16" s="3" t="str">
        <f>IF(ROW(A8)&lt;=nt+5,$B8,IF(A15=nt," Genetic Correlation   ",""))</f>
        <v/>
      </c>
      <c r="B16" s="19" t="str">
        <f t="shared" si="2"/>
        <v xml:space="preserve"> Genetic   </v>
      </c>
      <c r="C16" s="128"/>
      <c r="D16" s="128"/>
      <c r="E16" s="132"/>
      <c r="F16" s="128"/>
      <c r="G16" s="128"/>
      <c r="H16" s="129"/>
      <c r="I16" s="126"/>
      <c r="J16" s="133"/>
      <c r="K16" s="133"/>
      <c r="L16" s="133"/>
      <c r="M16" s="133"/>
      <c r="N16" s="133"/>
      <c r="O16" s="6"/>
      <c r="P16" s="6"/>
      <c r="Q16" s="6"/>
      <c r="R16" s="6"/>
      <c r="S16" s="8"/>
      <c r="T16" s="12"/>
      <c r="U16" s="12"/>
      <c r="V16" s="1"/>
    </row>
    <row r="17" spans="1:22" x14ac:dyDescent="0.25">
      <c r="A17" s="3" t="str">
        <f>IF(ROW(A9)&lt;=nt+5,$B9,IF(A16=nt," Genetic Correlation   ",""))</f>
        <v/>
      </c>
      <c r="B17" s="19" t="str">
        <f t="shared" si="2"/>
        <v/>
      </c>
      <c r="C17" s="128"/>
      <c r="D17" s="128"/>
      <c r="E17" s="128"/>
      <c r="F17" s="132"/>
      <c r="G17" s="129"/>
      <c r="H17" s="129"/>
      <c r="I17" s="126"/>
      <c r="J17" s="133"/>
      <c r="K17" s="133"/>
      <c r="L17" s="133"/>
      <c r="M17" s="133"/>
      <c r="N17" s="133"/>
      <c r="O17" s="6"/>
      <c r="P17" s="6"/>
      <c r="Q17" s="6"/>
      <c r="R17" s="6"/>
      <c r="S17" s="8"/>
      <c r="T17" s="12"/>
      <c r="U17" s="12"/>
      <c r="V17" s="1"/>
    </row>
    <row r="18" spans="1:22" x14ac:dyDescent="0.25">
      <c r="A18" s="3" t="str">
        <f>IF(ROW(A10)&lt;=nt+5,$B10,IF(A17=nt," Genetic Correlation   ",""))</f>
        <v/>
      </c>
      <c r="B18" s="41" t="str">
        <f t="shared" si="2"/>
        <v/>
      </c>
      <c r="C18" s="128"/>
      <c r="D18" s="128"/>
      <c r="E18" s="128"/>
      <c r="F18" s="128"/>
      <c r="G18" s="132"/>
      <c r="H18" s="129"/>
      <c r="I18" s="126"/>
      <c r="J18" s="133"/>
      <c r="K18" s="133"/>
      <c r="L18" s="133"/>
      <c r="M18" s="133"/>
      <c r="N18" s="133"/>
      <c r="O18" s="58"/>
      <c r="P18" s="6"/>
      <c r="Q18" s="6"/>
      <c r="R18" s="6"/>
      <c r="S18" s="8"/>
      <c r="T18" s="12"/>
      <c r="U18" s="12"/>
      <c r="V18" s="1"/>
    </row>
    <row r="19" spans="1:22" x14ac:dyDescent="0.25">
      <c r="A19" s="3" t="str">
        <f>IF(ROW(A11)&lt;=nt+5,$B11,IF(A18=nt," Genetic Correlation   ",""))</f>
        <v/>
      </c>
      <c r="B19" s="42" t="str">
        <f t="shared" si="2"/>
        <v/>
      </c>
      <c r="C19" s="134"/>
      <c r="D19" s="129"/>
      <c r="E19" s="129"/>
      <c r="F19" s="129"/>
      <c r="G19" s="129"/>
      <c r="H19" s="132"/>
      <c r="I19" s="135"/>
      <c r="J19" s="133"/>
      <c r="K19" s="133"/>
      <c r="L19" s="133"/>
      <c r="M19" s="133"/>
      <c r="N19" s="133"/>
      <c r="O19" s="58"/>
      <c r="P19" s="6"/>
      <c r="Q19" s="6"/>
      <c r="R19" s="6"/>
      <c r="S19" s="8"/>
      <c r="T19" s="12"/>
      <c r="U19" s="12"/>
      <c r="V19" s="1"/>
    </row>
    <row r="20" spans="1:22" ht="9.75" customHeight="1" x14ac:dyDescent="0.25">
      <c r="A20" s="54"/>
      <c r="B20" s="111" t="str">
        <f t="shared" si="2"/>
        <v/>
      </c>
      <c r="C20" s="114" t="s">
        <v>41</v>
      </c>
      <c r="D20" s="114" t="s">
        <v>41</v>
      </c>
      <c r="E20" s="114" t="s">
        <v>41</v>
      </c>
      <c r="F20" s="54"/>
      <c r="G20" s="54"/>
      <c r="H20" s="54"/>
      <c r="I20" s="54"/>
      <c r="J20" s="54"/>
      <c r="K20" s="54"/>
      <c r="L20" s="54"/>
      <c r="M20" s="54"/>
      <c r="N20" s="54"/>
      <c r="O20" s="58"/>
      <c r="P20" s="6"/>
      <c r="Q20" s="6"/>
      <c r="R20" s="6"/>
      <c r="S20" s="8"/>
      <c r="T20" s="12"/>
      <c r="U20" s="12"/>
      <c r="V20" s="1"/>
    </row>
    <row r="21" spans="1:22" x14ac:dyDescent="0.25">
      <c r="A21" s="86"/>
      <c r="B21" s="5"/>
      <c r="C21" s="86"/>
      <c r="D21" s="5"/>
      <c r="E21" s="5"/>
      <c r="F21" s="110" t="s">
        <v>10</v>
      </c>
      <c r="G21" s="109" t="s">
        <v>8</v>
      </c>
      <c r="H21" s="5"/>
      <c r="I21" s="5"/>
      <c r="J21" s="5"/>
      <c r="K21" s="5"/>
      <c r="L21" s="5"/>
      <c r="M21" s="5"/>
      <c r="N21" s="44"/>
      <c r="O21" s="119"/>
      <c r="P21" s="6"/>
      <c r="Q21" s="6"/>
      <c r="R21" s="6"/>
      <c r="S21" s="136" t="s">
        <v>47</v>
      </c>
      <c r="T21" s="137">
        <v>200</v>
      </c>
      <c r="U21" s="12"/>
      <c r="V21" s="1"/>
    </row>
    <row r="22" spans="1:22" ht="17.399999999999999" x14ac:dyDescent="0.3">
      <c r="A22" s="61" t="s">
        <v>28</v>
      </c>
      <c r="B22" s="60"/>
      <c r="C22" s="91" t="s">
        <v>44</v>
      </c>
      <c r="D22" s="5"/>
      <c r="E22" s="5"/>
      <c r="F22" s="147">
        <v>3.277316956368689</v>
      </c>
      <c r="G22" s="63">
        <v>0.50199775530884727</v>
      </c>
      <c r="H22" s="5"/>
      <c r="I22" s="5"/>
      <c r="J22" s="5"/>
      <c r="K22" s="5"/>
      <c r="L22" s="5"/>
      <c r="M22" s="5"/>
      <c r="N22" s="57"/>
      <c r="O22" s="8"/>
      <c r="P22" s="8"/>
      <c r="Q22" s="8"/>
      <c r="R22" s="8"/>
      <c r="S22" s="136" t="s">
        <v>53</v>
      </c>
      <c r="T22" s="138">
        <v>1.1999922840705235E-9</v>
      </c>
    </row>
    <row r="23" spans="1:22" ht="15.6" x14ac:dyDescent="0.3">
      <c r="A23" s="10"/>
      <c r="B23" s="49" t="s">
        <v>9</v>
      </c>
      <c r="C23" s="92" t="s">
        <v>29</v>
      </c>
      <c r="D23" s="101"/>
      <c r="E23" s="105" t="s">
        <v>6</v>
      </c>
      <c r="F23" s="98"/>
      <c r="G23" s="102" t="s">
        <v>31</v>
      </c>
      <c r="H23" s="75"/>
      <c r="I23" s="64"/>
      <c r="J23" s="50"/>
      <c r="K23" s="51" t="s">
        <v>24</v>
      </c>
      <c r="L23" s="52"/>
      <c r="M23" s="50"/>
      <c r="N23" s="53"/>
      <c r="O23" s="124" t="s">
        <v>50</v>
      </c>
      <c r="P23" s="120" t="s">
        <v>48</v>
      </c>
      <c r="Q23" s="3" t="s">
        <v>55</v>
      </c>
      <c r="R23" s="3" t="s">
        <v>52</v>
      </c>
      <c r="S23" s="136" t="s">
        <v>54</v>
      </c>
      <c r="T23" s="137">
        <v>200</v>
      </c>
    </row>
    <row r="24" spans="1:22" x14ac:dyDescent="0.25">
      <c r="A24" s="14"/>
      <c r="B24" s="14"/>
      <c r="C24" s="70" t="s">
        <v>2</v>
      </c>
      <c r="D24" s="82"/>
      <c r="E24" s="15"/>
      <c r="F24" s="107" t="s">
        <v>39</v>
      </c>
      <c r="G24" s="70" t="s">
        <v>22</v>
      </c>
      <c r="H24" s="45" t="s">
        <v>23</v>
      </c>
      <c r="I24" s="65" t="s">
        <v>11</v>
      </c>
      <c r="J24" s="25" t="s">
        <v>13</v>
      </c>
      <c r="K24" s="25" t="s">
        <v>12</v>
      </c>
      <c r="L24" s="25" t="s">
        <v>14</v>
      </c>
      <c r="M24" s="26" t="s">
        <v>15</v>
      </c>
      <c r="N24" s="46" t="s">
        <v>16</v>
      </c>
      <c r="O24" s="15" t="s">
        <v>51</v>
      </c>
      <c r="P24" s="122" t="s">
        <v>49</v>
      </c>
      <c r="Q24" s="15" t="s">
        <v>49</v>
      </c>
      <c r="R24" s="33" t="s">
        <v>56</v>
      </c>
      <c r="S24" s="139" t="s">
        <v>63</v>
      </c>
      <c r="T24" s="140"/>
    </row>
    <row r="25" spans="1:22" x14ac:dyDescent="0.25">
      <c r="A25" s="28">
        <f t="shared" ref="A25:A30" si="3">A6</f>
        <v>1</v>
      </c>
      <c r="B25" s="78" t="str">
        <f t="shared" ref="B25:B30" si="4">IF(ROW(A6)&lt;=nt+5,B6,IF(A5=nt,"     ",""))</f>
        <v>weight</v>
      </c>
      <c r="C25" s="43">
        <f t="shared" ref="C25:C30" si="5">IF($A6&lt;=nt,SQRT(E6)*D6," ")</f>
        <v>3.4641016151377544</v>
      </c>
      <c r="D25" s="99">
        <v>1.7729492366053312</v>
      </c>
      <c r="E25" s="106" t="str">
        <f t="shared" ref="E25:E30" si="6">IF(ROW(A6)&lt;=nt+5,C6,IF(A5=nt,"     ",""))</f>
        <v>kg</v>
      </c>
      <c r="F25" s="144">
        <v>3.5458984732106624</v>
      </c>
      <c r="G25" s="103">
        <v>0.51483312917659207</v>
      </c>
      <c r="H25" s="76">
        <v>0.49298881801065658</v>
      </c>
      <c r="I25" s="66" t="s">
        <v>19</v>
      </c>
      <c r="J25" s="16">
        <v>0.27482465989437749</v>
      </c>
      <c r="K25" s="16">
        <v>0.13152454281104425</v>
      </c>
      <c r="L25" s="16" t="s">
        <v>19</v>
      </c>
      <c r="M25" s="16">
        <v>1.0090782963686951</v>
      </c>
      <c r="N25" s="47" t="s">
        <v>19</v>
      </c>
      <c r="O25" s="123">
        <v>1.7834342743070566</v>
      </c>
      <c r="P25" s="121"/>
      <c r="Q25" s="125">
        <v>1.3465205317098854</v>
      </c>
      <c r="R25" s="99">
        <v>2</v>
      </c>
      <c r="S25" s="141">
        <f t="shared" ref="S25:S30" si="7">Q25*H6</f>
        <v>2.6930410634197708</v>
      </c>
    </row>
    <row r="26" spans="1:22" x14ac:dyDescent="0.25">
      <c r="A26" s="28">
        <f t="shared" si="3"/>
        <v>2</v>
      </c>
      <c r="B26" s="79" t="str">
        <f t="shared" si="4"/>
        <v>feed intake</v>
      </c>
      <c r="C26" s="43">
        <f t="shared" si="5"/>
        <v>1.7815723392554117</v>
      </c>
      <c r="D26" s="99">
        <v>0.53716303368394624</v>
      </c>
      <c r="E26" s="106" t="str">
        <f t="shared" si="6"/>
        <v>kg</v>
      </c>
      <c r="F26" s="145">
        <v>-0.26858151684197312</v>
      </c>
      <c r="G26" s="103">
        <v>0.5280909155415211</v>
      </c>
      <c r="H26" s="76">
        <v>0.51787141277549709</v>
      </c>
      <c r="I26" s="66">
        <v>0.15701624036876344</v>
      </c>
      <c r="J26" s="16">
        <v>-8.9142168302792577E-4</v>
      </c>
      <c r="K26" s="16">
        <v>-1.2054235858051182E-2</v>
      </c>
      <c r="L26" s="16" t="s">
        <v>19</v>
      </c>
      <c r="M26" s="108">
        <v>-0.15471830852229596</v>
      </c>
      <c r="N26" s="47" t="s">
        <v>19</v>
      </c>
      <c r="O26" s="123">
        <v>0.94083216774083978</v>
      </c>
      <c r="P26" s="121">
        <v>1E-3</v>
      </c>
      <c r="Q26" s="125">
        <v>9.6535909521865051E-4</v>
      </c>
      <c r="R26" s="99">
        <v>-2.4859074299802555</v>
      </c>
      <c r="S26" s="141">
        <f t="shared" si="7"/>
        <v>-4.8267954760932525E-4</v>
      </c>
    </row>
    <row r="27" spans="1:22" x14ac:dyDescent="0.25">
      <c r="A27" s="28" t="str">
        <f>A8</f>
        <v xml:space="preserve">     </v>
      </c>
      <c r="B27" s="79" t="str">
        <f>IF(ROW(A8)&lt;=nt+5,B8,IF(A7=nt,"     ",""))</f>
        <v xml:space="preserve">     </v>
      </c>
      <c r="C27" s="43" t="str">
        <f t="shared" si="5"/>
        <v xml:space="preserve"> </v>
      </c>
      <c r="D27" s="99"/>
      <c r="E27" s="106" t="str">
        <f t="shared" si="6"/>
        <v xml:space="preserve">     </v>
      </c>
      <c r="F27" s="145"/>
      <c r="G27" s="103"/>
      <c r="H27" s="76"/>
      <c r="I27" s="66"/>
      <c r="J27" s="16"/>
      <c r="K27" s="16"/>
      <c r="L27" s="16"/>
      <c r="M27" s="16"/>
      <c r="N27" s="47"/>
      <c r="O27" s="123"/>
      <c r="P27" s="121"/>
      <c r="Q27" s="125"/>
      <c r="R27" s="99"/>
      <c r="S27" s="141">
        <f t="shared" si="7"/>
        <v>0</v>
      </c>
    </row>
    <row r="28" spans="1:22" x14ac:dyDescent="0.25">
      <c r="A28" s="28" t="str">
        <f t="shared" si="3"/>
        <v/>
      </c>
      <c r="B28" s="79" t="str">
        <f t="shared" si="4"/>
        <v/>
      </c>
      <c r="C28" s="43" t="str">
        <f t="shared" si="5"/>
        <v xml:space="preserve"> </v>
      </c>
      <c r="D28" s="99"/>
      <c r="E28" s="106" t="str">
        <f t="shared" si="6"/>
        <v/>
      </c>
      <c r="F28" s="145"/>
      <c r="G28" s="103"/>
      <c r="H28" s="76"/>
      <c r="I28" s="66"/>
      <c r="J28" s="16"/>
      <c r="K28" s="16"/>
      <c r="L28" s="16"/>
      <c r="M28" s="16"/>
      <c r="N28" s="47"/>
      <c r="O28" s="123"/>
      <c r="P28" s="121"/>
      <c r="Q28" s="125"/>
      <c r="R28" s="99"/>
      <c r="S28" s="141">
        <f t="shared" si="7"/>
        <v>0</v>
      </c>
    </row>
    <row r="29" spans="1:22" x14ac:dyDescent="0.25">
      <c r="A29" s="28" t="str">
        <f t="shared" si="3"/>
        <v/>
      </c>
      <c r="B29" s="79" t="str">
        <f t="shared" si="4"/>
        <v/>
      </c>
      <c r="C29" s="43" t="str">
        <f t="shared" si="5"/>
        <v xml:space="preserve"> </v>
      </c>
      <c r="D29" s="99"/>
      <c r="E29" s="106" t="str">
        <f t="shared" si="6"/>
        <v/>
      </c>
      <c r="F29" s="145"/>
      <c r="G29" s="103"/>
      <c r="H29" s="76"/>
      <c r="I29" s="66"/>
      <c r="J29" s="16"/>
      <c r="K29" s="16"/>
      <c r="L29" s="16"/>
      <c r="M29" s="16"/>
      <c r="N29" s="47"/>
      <c r="O29" s="123"/>
      <c r="P29" s="120"/>
      <c r="Q29" s="125"/>
      <c r="R29" s="99"/>
      <c r="S29" s="141">
        <f t="shared" si="7"/>
        <v>0</v>
      </c>
    </row>
    <row r="30" spans="1:22" x14ac:dyDescent="0.25">
      <c r="A30" s="27" t="str">
        <f t="shared" si="3"/>
        <v/>
      </c>
      <c r="B30" s="80" t="str">
        <f t="shared" si="4"/>
        <v/>
      </c>
      <c r="C30" s="115" t="str">
        <f t="shared" si="5"/>
        <v xml:space="preserve"> </v>
      </c>
      <c r="D30" s="100"/>
      <c r="E30" s="116" t="str">
        <f t="shared" si="6"/>
        <v/>
      </c>
      <c r="F30" s="146"/>
      <c r="G30" s="104"/>
      <c r="H30" s="77"/>
      <c r="I30" s="67"/>
      <c r="J30" s="26"/>
      <c r="K30" s="26"/>
      <c r="L30" s="26"/>
      <c r="M30" s="26"/>
      <c r="N30" s="48"/>
      <c r="O30" s="123"/>
      <c r="P30" s="120"/>
      <c r="Q30" s="125"/>
      <c r="R30" s="99"/>
      <c r="S30" s="141">
        <f t="shared" si="7"/>
        <v>0</v>
      </c>
    </row>
    <row r="31" spans="1:22" x14ac:dyDescent="0.25">
      <c r="A31" s="8"/>
      <c r="B31" s="23"/>
      <c r="C31" s="8"/>
      <c r="D31" s="8"/>
      <c r="E31" s="8"/>
      <c r="F31" s="8"/>
      <c r="G31" s="9"/>
      <c r="H31" s="9"/>
      <c r="I31" s="9"/>
      <c r="J31" s="9"/>
      <c r="K31" s="9"/>
      <c r="L31" s="9"/>
      <c r="M31" s="9"/>
      <c r="N31" s="9"/>
      <c r="O31" s="8"/>
      <c r="P31" s="8"/>
      <c r="Q31" s="8"/>
      <c r="R31" s="8"/>
      <c r="S31" s="142"/>
    </row>
    <row r="32" spans="1:22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143">
        <f>SUM(S25:S30)</f>
        <v>2.6925583838721616</v>
      </c>
    </row>
    <row r="33" spans="1:19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</row>
    <row r="34" spans="1:19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148"/>
      <c r="P34" s="8"/>
      <c r="Q34" s="8"/>
      <c r="R34" s="8"/>
      <c r="S34" s="8"/>
    </row>
    <row r="35" spans="1:19" x14ac:dyDescent="0.25">
      <c r="A35" s="8"/>
      <c r="B35" s="8"/>
      <c r="C35" s="8" t="s">
        <v>42</v>
      </c>
      <c r="D35" s="8"/>
      <c r="E35" s="8"/>
      <c r="F35" s="8"/>
      <c r="G35" s="8"/>
      <c r="H35" s="8"/>
      <c r="I35" s="8" t="s">
        <v>46</v>
      </c>
      <c r="J35" s="8"/>
      <c r="K35" s="8"/>
      <c r="L35" s="8"/>
      <c r="M35" s="8"/>
      <c r="N35" s="8"/>
      <c r="O35" s="8"/>
      <c r="P35" s="8"/>
      <c r="Q35" s="8"/>
      <c r="R35" s="8"/>
      <c r="S35" s="8"/>
    </row>
    <row r="36" spans="1:19" x14ac:dyDescent="0.25">
      <c r="A36" s="8"/>
      <c r="B36" s="8">
        <v>11.999999999999998</v>
      </c>
      <c r="C36" s="8">
        <v>3.0857738089497095</v>
      </c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148"/>
      <c r="P36" s="8"/>
      <c r="Q36" s="8"/>
      <c r="R36" s="8"/>
      <c r="S36" s="8"/>
    </row>
    <row r="37" spans="1:19" x14ac:dyDescent="0.25">
      <c r="A37" s="8"/>
      <c r="B37" s="8">
        <v>0.5</v>
      </c>
      <c r="C37" s="8">
        <v>3.1739999999999999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</row>
    <row r="38" spans="1:19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148"/>
      <c r="P38" s="8"/>
      <c r="Q38" s="8"/>
      <c r="R38" s="8"/>
      <c r="S38" s="8"/>
    </row>
    <row r="39" spans="1:19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</row>
    <row r="40" spans="1:19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148"/>
      <c r="P40" s="8"/>
      <c r="Q40" s="8"/>
      <c r="R40" s="8"/>
      <c r="S40" s="8"/>
    </row>
    <row r="41" spans="1:19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</row>
    <row r="42" spans="1:19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148"/>
      <c r="P42" s="8"/>
      <c r="Q42" s="8"/>
      <c r="R42" s="8"/>
      <c r="S42" s="8"/>
    </row>
    <row r="43" spans="1:19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</row>
    <row r="44" spans="1:19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148"/>
      <c r="P44" s="8"/>
      <c r="Q44" s="8"/>
      <c r="R44" s="8"/>
      <c r="S44" s="8"/>
    </row>
    <row r="45" spans="1:19" x14ac:dyDescent="0.25">
      <c r="A45" s="8"/>
      <c r="B45" s="8"/>
      <c r="C45" s="8" t="s">
        <v>43</v>
      </c>
      <c r="D45" s="8"/>
      <c r="E45" s="8"/>
      <c r="F45" s="8"/>
      <c r="G45" s="8"/>
      <c r="H45" s="8"/>
      <c r="I45" s="8" t="s">
        <v>45</v>
      </c>
      <c r="J45" s="8"/>
      <c r="K45" s="8"/>
      <c r="L45" s="8"/>
      <c r="M45" s="8"/>
      <c r="N45" s="8"/>
      <c r="O45" s="8"/>
      <c r="P45" s="8"/>
      <c r="Q45" s="8"/>
      <c r="R45" s="8"/>
      <c r="S45" s="8"/>
    </row>
    <row r="46" spans="1:19" x14ac:dyDescent="0.25">
      <c r="A46" s="8"/>
      <c r="B46" s="8">
        <v>28.000000000000007</v>
      </c>
      <c r="C46" s="8">
        <v>4.4170154934724835</v>
      </c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148"/>
      <c r="P46" s="8"/>
      <c r="Q46" s="8"/>
      <c r="R46" s="8"/>
      <c r="S46" s="8"/>
    </row>
    <row r="47" spans="1:19" x14ac:dyDescent="0.25">
      <c r="A47" s="8"/>
      <c r="B47" s="8">
        <v>0.19682606608136541</v>
      </c>
      <c r="C47" s="8">
        <v>17.985999999999997</v>
      </c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</row>
    <row r="48" spans="1:19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148"/>
      <c r="P48" s="8"/>
      <c r="Q48" s="8"/>
      <c r="R48" s="8"/>
      <c r="S48" s="8"/>
    </row>
    <row r="49" spans="1:19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</row>
    <row r="50" spans="1:19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148"/>
      <c r="P50" s="8"/>
      <c r="Q50" s="8"/>
      <c r="R50" s="8"/>
      <c r="S50" s="8"/>
    </row>
    <row r="51" spans="1:19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</row>
    <row r="52" spans="1:19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148"/>
      <c r="P52" s="8"/>
      <c r="Q52" s="8"/>
      <c r="R52" s="8"/>
      <c r="S52" s="8"/>
    </row>
    <row r="53" spans="1:19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</row>
    <row r="54" spans="1:19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148"/>
      <c r="P54" s="8"/>
      <c r="Q54" s="8"/>
      <c r="R54" s="8"/>
      <c r="S54" s="8"/>
    </row>
    <row r="55" spans="1:19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</row>
    <row r="56" spans="1:19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148"/>
      <c r="P56" s="8"/>
    </row>
    <row r="57" spans="1:19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</row>
    <row r="58" spans="1:19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148"/>
      <c r="P58" s="8"/>
    </row>
    <row r="59" spans="1:19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</row>
    <row r="60" spans="1:19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148"/>
      <c r="P60" s="8"/>
    </row>
    <row r="61" spans="1:19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</row>
    <row r="62" spans="1:19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148"/>
      <c r="P62" s="8"/>
    </row>
    <row r="63" spans="1:19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</row>
    <row r="64" spans="1:19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148"/>
      <c r="P64" s="8"/>
    </row>
    <row r="65" spans="2:16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</row>
    <row r="66" spans="2:16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148"/>
      <c r="P66" s="8"/>
    </row>
    <row r="67" spans="2:16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</row>
    <row r="68" spans="2:16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148"/>
      <c r="P68" s="8"/>
    </row>
    <row r="69" spans="2:16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</row>
    <row r="70" spans="2:16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148"/>
      <c r="P70" s="8"/>
    </row>
    <row r="71" spans="2:16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</row>
    <row r="72" spans="2:16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148"/>
      <c r="P72" s="8"/>
    </row>
    <row r="73" spans="2:16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</row>
    <row r="74" spans="2:16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148"/>
      <c r="P74" s="8"/>
    </row>
    <row r="75" spans="2:16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</row>
    <row r="76" spans="2:16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148"/>
      <c r="P76" s="8"/>
    </row>
    <row r="77" spans="2:16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</row>
    <row r="78" spans="2:16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148"/>
      <c r="P78" s="8"/>
    </row>
    <row r="79" spans="2:16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</row>
    <row r="80" spans="2:16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148"/>
      <c r="P80" s="8"/>
    </row>
    <row r="100" spans="1:6" x14ac:dyDescent="0.25">
      <c r="A100">
        <v>2</v>
      </c>
    </row>
    <row r="101" spans="1:6" x14ac:dyDescent="0.25">
      <c r="A101">
        <v>3.180637810773137</v>
      </c>
      <c r="B101">
        <v>1.101518051277403</v>
      </c>
      <c r="C101">
        <v>0.46852930107784874</v>
      </c>
      <c r="D101">
        <v>0.34029726773278079</v>
      </c>
      <c r="E101">
        <v>0.10043374307075834</v>
      </c>
      <c r="F101">
        <v>5.3323321026129298</v>
      </c>
    </row>
    <row r="102" spans="1:6" x14ac:dyDescent="0.25">
      <c r="A102">
        <v>1.101518051277403</v>
      </c>
      <c r="B102">
        <v>0.8851651678559278</v>
      </c>
      <c r="C102">
        <v>3.5954169542964751E-2</v>
      </c>
      <c r="D102">
        <v>1.5425329399981449E-2</v>
      </c>
      <c r="E102">
        <v>-1.9280255297021011E-3</v>
      </c>
      <c r="F102">
        <v>7.876131833831522E-2</v>
      </c>
    </row>
    <row r="103" spans="1:6" x14ac:dyDescent="0.25">
      <c r="A103">
        <v>0.46852930107784857</v>
      </c>
      <c r="B103">
        <v>3.5954169542964744E-2</v>
      </c>
      <c r="C103">
        <v>0.52711503138740567</v>
      </c>
      <c r="D103">
        <v>0.8807744495683395</v>
      </c>
      <c r="E103">
        <v>1.893005393702608E-4</v>
      </c>
      <c r="F103">
        <v>0.34504051801131302</v>
      </c>
    </row>
    <row r="104" spans="1:6" x14ac:dyDescent="0.25">
      <c r="A104">
        <v>0.34029726773278041</v>
      </c>
      <c r="B104">
        <v>1.5425329399981426E-2</v>
      </c>
      <c r="C104">
        <v>0.88077444956833939</v>
      </c>
      <c r="D104">
        <v>1.5910848254651619</v>
      </c>
      <c r="E104">
        <v>-2.7196864309542669E-3</v>
      </c>
      <c r="F104">
        <v>0.13307626482301035</v>
      </c>
    </row>
    <row r="105" spans="1:6" x14ac:dyDescent="0.25">
      <c r="A105">
        <v>0.10043374307075828</v>
      </c>
      <c r="B105">
        <v>-1.9280255297021024E-3</v>
      </c>
      <c r="C105">
        <v>1.8930053937026142E-4</v>
      </c>
      <c r="D105">
        <v>-2.7196864309542673E-3</v>
      </c>
      <c r="E105">
        <v>2.0878982822132757E-3</v>
      </c>
      <c r="F105">
        <v>8.0644756026599568E-2</v>
      </c>
    </row>
    <row r="106" spans="1:6" x14ac:dyDescent="0.25">
      <c r="A106">
        <v>5.3323321026129271</v>
      </c>
      <c r="B106">
        <v>7.8761318338315178E-2</v>
      </c>
      <c r="C106">
        <v>0.34504051801131291</v>
      </c>
      <c r="D106">
        <v>0.13307626482301041</v>
      </c>
      <c r="E106">
        <v>8.0644756026599568E-2</v>
      </c>
      <c r="F106">
        <v>5.2302367419730009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6 traits</vt:lpstr>
      <vt:lpstr>2 traits</vt:lpstr>
      <vt:lpstr>'6 traits'!nt</vt:lpstr>
      <vt:lpstr>nt</vt:lpstr>
    </vt:vector>
  </TitlesOfParts>
  <Company>animal science 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jvanderwerf</dc:creator>
  <cp:lastModifiedBy>vanderwerf</cp:lastModifiedBy>
  <cp:lastPrinted>2001-03-20T05:11:57Z</cp:lastPrinted>
  <dcterms:created xsi:type="dcterms:W3CDTF">1999-08-04T13:10:37Z</dcterms:created>
  <dcterms:modified xsi:type="dcterms:W3CDTF">2015-05-15T14:47:18Z</dcterms:modified>
</cp:coreProperties>
</file>