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36" windowWidth="19032" windowHeight="8952" activeTab="3"/>
  </bookViews>
  <sheets>
    <sheet name="Selection intensity calulator" sheetId="1" r:id="rId1"/>
    <sheet name="selection intensity tables" sheetId="2" r:id="rId2"/>
    <sheet name="Selection intensity curves" sheetId="3" r:id="rId3"/>
    <sheet name="correlated EBV" sheetId="5" r:id="rId4"/>
  </sheets>
  <functionGroups builtInGroupCount="17"/>
  <calcPr calcId="145621" concurrentCalc="0"/>
</workbook>
</file>

<file path=xl/calcChain.xml><?xml version="1.0" encoding="utf-8"?>
<calcChain xmlns="http://schemas.openxmlformats.org/spreadsheetml/2006/main">
  <c r="D8" i="5" l="1"/>
  <c r="D9" i="5"/>
  <c r="D10" i="5"/>
  <c r="C104" i="5"/>
  <c r="D104" i="5"/>
  <c r="C103" i="5"/>
  <c r="C102" i="5"/>
  <c r="D102" i="5"/>
  <c r="C101" i="5"/>
  <c r="D7" i="3"/>
  <c r="D8" i="3"/>
  <c r="D9" i="3"/>
  <c r="J9" i="3"/>
  <c r="I7" i="3"/>
  <c r="I8" i="3"/>
  <c r="J8" i="3"/>
  <c r="J9" i="1"/>
  <c r="I100" i="3"/>
  <c r="C103" i="3"/>
  <c r="D103" i="3"/>
  <c r="C102" i="3"/>
  <c r="C101" i="3"/>
  <c r="D101" i="3"/>
  <c r="C100" i="3"/>
  <c r="D12" i="3"/>
  <c r="D14" i="3"/>
  <c r="D13" i="3"/>
  <c r="D7" i="1"/>
  <c r="D8" i="1"/>
  <c r="D9" i="1"/>
  <c r="C103" i="1"/>
  <c r="D103" i="1"/>
  <c r="C101" i="1"/>
  <c r="D101" i="1"/>
  <c r="C102" i="1"/>
  <c r="C100" i="1"/>
  <c r="D12" i="1"/>
  <c r="D14" i="1"/>
  <c r="D13" i="1"/>
  <c r="I4" i="5"/>
  <c r="J10" i="5"/>
  <c r="H12" i="5"/>
  <c r="J13" i="5"/>
</calcChain>
</file>

<file path=xl/sharedStrings.xml><?xml version="1.0" encoding="utf-8"?>
<sst xmlns="http://schemas.openxmlformats.org/spreadsheetml/2006/main" count="75" uniqueCount="37">
  <si>
    <t>i(i-x)</t>
  </si>
  <si>
    <t>variance of selected group</t>
  </si>
  <si>
    <t>variance in true  BV</t>
  </si>
  <si>
    <t>variance reduction</t>
  </si>
  <si>
    <t>Selection Intensity Table</t>
  </si>
  <si>
    <t xml:space="preserve">of a large sample truncated standard normal distribution, giving the truncation point </t>
  </si>
  <si>
    <r>
      <t xml:space="preserve">and the average value of the selected group for a certain selected </t>
    </r>
    <r>
      <rPr>
        <b/>
        <sz val="10"/>
        <rFont val="Arial"/>
        <family val="2"/>
      </rPr>
      <t>percentage</t>
    </r>
  </si>
  <si>
    <t>%</t>
  </si>
  <si>
    <t>truncation</t>
  </si>
  <si>
    <t>selection</t>
  </si>
  <si>
    <t>selected</t>
  </si>
  <si>
    <t>point (x)</t>
  </si>
  <si>
    <t>intensity (i)</t>
  </si>
  <si>
    <t>Infinite population size</t>
  </si>
  <si>
    <t xml:space="preserve">Finite Population Size   = </t>
  </si>
  <si>
    <t>Corrected for population size</t>
  </si>
  <si>
    <t>Selection intensity</t>
  </si>
  <si>
    <t>p</t>
  </si>
  <si>
    <t>x</t>
  </si>
  <si>
    <t>z</t>
  </si>
  <si>
    <t>i</t>
  </si>
  <si>
    <t>proportion selected</t>
  </si>
  <si>
    <t>Selection threshold</t>
  </si>
  <si>
    <t>height at threshold</t>
  </si>
  <si>
    <t xml:space="preserve">…………...for accuracy = </t>
  </si>
  <si>
    <t>Infinite PopSize</t>
  </si>
  <si>
    <t>Infinte PopSize</t>
  </si>
  <si>
    <t>PopSize =</t>
  </si>
  <si>
    <t>p corrected</t>
  </si>
  <si>
    <t>FS EBV correlation</t>
  </si>
  <si>
    <t>HS EBV Correlation</t>
  </si>
  <si>
    <t>t_average</t>
  </si>
  <si>
    <t>Corrected for related EBV</t>
  </si>
  <si>
    <t>Nr Sires nhs</t>
  </si>
  <si>
    <t xml:space="preserve">Population Size   = </t>
  </si>
  <si>
    <t>Nr offspring per dam</t>
  </si>
  <si>
    <t xml:space="preserve">Nr dams/sire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</si>
</sst>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%"/>
    <numFmt numFmtId="165" formatCode="0.000"/>
    <numFmt numFmtId="166" formatCode="0.0000"/>
    <numFmt numFmtId="167" formatCode="0.0"/>
    <numFmt numFmtId="168" formatCode="0.00000"/>
    <numFmt numFmtId="169" formatCode="0.00000000"/>
    <numFmt numFmtId="170" formatCode="0.000000"/>
  </numFmts>
  <fonts count="8" x14ac:knownFonts="1">
    <font>
      <sz val="10"/>
      <name val="Arial"/>
    </font>
    <font>
      <sz val="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1"/>
      <name val="Arial"/>
      <family val="2"/>
    </font>
    <font>
      <sz val="16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2" borderId="0" xfId="0" applyFill="1"/>
    <xf numFmtId="0" fontId="2" fillId="2" borderId="0" xfId="0" applyFont="1" applyFill="1"/>
    <xf numFmtId="0" fontId="2" fillId="3" borderId="0" xfId="0" applyFont="1" applyFill="1" applyAlignment="1" applyProtection="1">
      <alignment horizontal="left"/>
      <protection locked="0"/>
    </xf>
    <xf numFmtId="0" fontId="6" fillId="2" borderId="0" xfId="0" applyFont="1" applyFill="1"/>
    <xf numFmtId="0" fontId="0" fillId="0" borderId="0" xfId="0" applyProtection="1"/>
    <xf numFmtId="166" fontId="0" fillId="0" borderId="0" xfId="0" applyNumberFormat="1" applyProtection="1"/>
    <xf numFmtId="0" fontId="0" fillId="4" borderId="0" xfId="0" applyFill="1"/>
    <xf numFmtId="0" fontId="2" fillId="2" borderId="0" xfId="0" applyFont="1" applyFill="1" applyAlignment="1">
      <alignment horizontal="left"/>
    </xf>
    <xf numFmtId="169" fontId="0" fillId="0" borderId="0" xfId="0" applyNumberFormat="1" applyProtection="1"/>
    <xf numFmtId="10" fontId="7" fillId="3" borderId="0" xfId="0" applyNumberFormat="1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6" fillId="2" borderId="0" xfId="0" applyFont="1" applyFill="1" applyAlignment="1">
      <alignment horizontal="center"/>
    </xf>
    <xf numFmtId="165" fontId="7" fillId="5" borderId="0" xfId="0" applyNumberFormat="1" applyFont="1" applyFill="1" applyAlignment="1">
      <alignment horizontal="center"/>
    </xf>
    <xf numFmtId="166" fontId="2" fillId="2" borderId="0" xfId="0" applyNumberFormat="1" applyFont="1" applyFill="1" applyAlignment="1">
      <alignment horizontal="center"/>
    </xf>
    <xf numFmtId="165" fontId="7" fillId="6" borderId="0" xfId="0" applyNumberFormat="1" applyFont="1" applyFill="1" applyAlignment="1">
      <alignment horizontal="center"/>
    </xf>
    <xf numFmtId="0" fontId="0" fillId="4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1" fontId="2" fillId="3" borderId="0" xfId="0" applyNumberFormat="1" applyFont="1" applyFill="1" applyAlignment="1" applyProtection="1">
      <alignment horizontal="center"/>
      <protection locked="0"/>
    </xf>
    <xf numFmtId="168" fontId="7" fillId="6" borderId="0" xfId="0" applyNumberFormat="1" applyFont="1" applyFill="1" applyAlignment="1">
      <alignment horizontal="center"/>
    </xf>
    <xf numFmtId="170" fontId="6" fillId="2" borderId="0" xfId="0" applyNumberFormat="1" applyFont="1" applyFill="1" applyAlignment="1">
      <alignment horizontal="center"/>
    </xf>
    <xf numFmtId="0" fontId="3" fillId="2" borderId="0" xfId="0" applyFont="1" applyFill="1"/>
    <xf numFmtId="0" fontId="3" fillId="0" borderId="0" xfId="0" applyFont="1"/>
    <xf numFmtId="0" fontId="4" fillId="4" borderId="0" xfId="0" applyFont="1" applyFill="1"/>
    <xf numFmtId="0" fontId="1" fillId="4" borderId="0" xfId="0" applyFont="1" applyFill="1" applyAlignment="1">
      <alignment horizontal="center"/>
    </xf>
    <xf numFmtId="0" fontId="1" fillId="4" borderId="1" xfId="0" applyFont="1" applyFill="1" applyBorder="1" applyAlignment="1">
      <alignment horizontal="center"/>
    </xf>
    <xf numFmtId="2" fontId="0" fillId="4" borderId="0" xfId="0" applyNumberFormat="1" applyFill="1" applyAlignment="1">
      <alignment horizontal="center"/>
    </xf>
    <xf numFmtId="165" fontId="0" fillId="4" borderId="0" xfId="0" applyNumberFormat="1" applyFill="1" applyAlignment="1">
      <alignment horizontal="center"/>
    </xf>
    <xf numFmtId="167" fontId="0" fillId="4" borderId="0" xfId="0" applyNumberFormat="1" applyFill="1" applyAlignment="1">
      <alignment horizontal="center"/>
    </xf>
    <xf numFmtId="1" fontId="0" fillId="4" borderId="0" xfId="0" applyNumberFormat="1" applyFill="1" applyAlignment="1">
      <alignment horizontal="center"/>
    </xf>
    <xf numFmtId="164" fontId="7" fillId="3" borderId="0" xfId="0" applyNumberFormat="1" applyFont="1" applyFill="1" applyAlignment="1" applyProtection="1">
      <alignment horizontal="center"/>
      <protection locked="0"/>
    </xf>
    <xf numFmtId="165" fontId="0" fillId="7" borderId="2" xfId="0" applyNumberFormat="1" applyFill="1" applyBorder="1" applyAlignment="1">
      <alignment horizontal="center"/>
    </xf>
    <xf numFmtId="165" fontId="0" fillId="7" borderId="3" xfId="0" applyNumberFormat="1" applyFill="1" applyBorder="1" applyAlignment="1">
      <alignment horizontal="center"/>
    </xf>
    <xf numFmtId="1" fontId="2" fillId="4" borderId="0" xfId="0" applyNumberFormat="1" applyFont="1" applyFill="1" applyAlignment="1" applyProtection="1">
      <alignment horizontal="center"/>
      <protection locked="0"/>
    </xf>
    <xf numFmtId="0" fontId="3" fillId="2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normal density</c:v>
          </c:tx>
          <c:marker>
            <c:symbol val="none"/>
          </c:marker>
          <c:xVal>
            <c:numRef>
              <c:f>'Selection intensity calulator'!$A$100:$A$170</c:f>
              <c:numCache>
                <c:formatCode>General</c:formatCode>
                <c:ptCount val="71"/>
                <c:pt idx="0">
                  <c:v>-3.5</c:v>
                </c:pt>
                <c:pt idx="1">
                  <c:v>-3.4</c:v>
                </c:pt>
                <c:pt idx="2">
                  <c:v>-3.3</c:v>
                </c:pt>
                <c:pt idx="3">
                  <c:v>-3.2</c:v>
                </c:pt>
                <c:pt idx="4">
                  <c:v>-3.1</c:v>
                </c:pt>
                <c:pt idx="5">
                  <c:v>-3</c:v>
                </c:pt>
                <c:pt idx="6">
                  <c:v>-2.9</c:v>
                </c:pt>
                <c:pt idx="7">
                  <c:v>-2.8</c:v>
                </c:pt>
                <c:pt idx="8">
                  <c:v>-2.7</c:v>
                </c:pt>
                <c:pt idx="9">
                  <c:v>-2.6</c:v>
                </c:pt>
                <c:pt idx="10">
                  <c:v>-2.5</c:v>
                </c:pt>
                <c:pt idx="11">
                  <c:v>-2.4</c:v>
                </c:pt>
                <c:pt idx="12">
                  <c:v>-2.2999999999999998</c:v>
                </c:pt>
                <c:pt idx="13">
                  <c:v>-2.2000000000000002</c:v>
                </c:pt>
                <c:pt idx="14">
                  <c:v>-2.1</c:v>
                </c:pt>
                <c:pt idx="15">
                  <c:v>-2</c:v>
                </c:pt>
                <c:pt idx="16">
                  <c:v>-1.9</c:v>
                </c:pt>
                <c:pt idx="17">
                  <c:v>-1.8</c:v>
                </c:pt>
                <c:pt idx="18">
                  <c:v>-1.7</c:v>
                </c:pt>
                <c:pt idx="19">
                  <c:v>-1.6</c:v>
                </c:pt>
                <c:pt idx="20">
                  <c:v>-1.5</c:v>
                </c:pt>
                <c:pt idx="21">
                  <c:v>-1.4</c:v>
                </c:pt>
                <c:pt idx="22">
                  <c:v>-1.3</c:v>
                </c:pt>
                <c:pt idx="23">
                  <c:v>-1.2</c:v>
                </c:pt>
                <c:pt idx="24">
                  <c:v>-1.1000000000000001</c:v>
                </c:pt>
                <c:pt idx="25">
                  <c:v>-1</c:v>
                </c:pt>
                <c:pt idx="26">
                  <c:v>-0.9</c:v>
                </c:pt>
                <c:pt idx="27">
                  <c:v>-0.8</c:v>
                </c:pt>
                <c:pt idx="28">
                  <c:v>-0.7</c:v>
                </c:pt>
                <c:pt idx="29">
                  <c:v>-0.6</c:v>
                </c:pt>
                <c:pt idx="30">
                  <c:v>-0.5</c:v>
                </c:pt>
                <c:pt idx="31">
                  <c:v>-0.4</c:v>
                </c:pt>
                <c:pt idx="32">
                  <c:v>-0.3</c:v>
                </c:pt>
                <c:pt idx="33">
                  <c:v>-0.2</c:v>
                </c:pt>
                <c:pt idx="34">
                  <c:v>-0.1</c:v>
                </c:pt>
                <c:pt idx="35">
                  <c:v>0</c:v>
                </c:pt>
                <c:pt idx="36">
                  <c:v>0.1</c:v>
                </c:pt>
                <c:pt idx="37">
                  <c:v>0.2</c:v>
                </c:pt>
                <c:pt idx="38">
                  <c:v>0.3</c:v>
                </c:pt>
                <c:pt idx="39">
                  <c:v>0.4</c:v>
                </c:pt>
                <c:pt idx="40">
                  <c:v>0.5</c:v>
                </c:pt>
                <c:pt idx="41">
                  <c:v>0.6</c:v>
                </c:pt>
                <c:pt idx="42">
                  <c:v>0.7</c:v>
                </c:pt>
                <c:pt idx="43">
                  <c:v>0.8</c:v>
                </c:pt>
                <c:pt idx="44">
                  <c:v>0.9</c:v>
                </c:pt>
                <c:pt idx="45">
                  <c:v>1</c:v>
                </c:pt>
                <c:pt idx="46">
                  <c:v>1.1000000000000001</c:v>
                </c:pt>
                <c:pt idx="47">
                  <c:v>1.2</c:v>
                </c:pt>
                <c:pt idx="48">
                  <c:v>1.3</c:v>
                </c:pt>
                <c:pt idx="49">
                  <c:v>1.4</c:v>
                </c:pt>
                <c:pt idx="50">
                  <c:v>1.5</c:v>
                </c:pt>
                <c:pt idx="51">
                  <c:v>1.6</c:v>
                </c:pt>
                <c:pt idx="52">
                  <c:v>1.7</c:v>
                </c:pt>
                <c:pt idx="53">
                  <c:v>1.8</c:v>
                </c:pt>
                <c:pt idx="54">
                  <c:v>1.9</c:v>
                </c:pt>
                <c:pt idx="55">
                  <c:v>2.0000000000000102</c:v>
                </c:pt>
                <c:pt idx="56">
                  <c:v>2.1</c:v>
                </c:pt>
                <c:pt idx="57">
                  <c:v>2.2000000000000002</c:v>
                </c:pt>
                <c:pt idx="58">
                  <c:v>2.30000000000001</c:v>
                </c:pt>
                <c:pt idx="59">
                  <c:v>2.4000000000000101</c:v>
                </c:pt>
                <c:pt idx="60">
                  <c:v>2.5000000000000102</c:v>
                </c:pt>
                <c:pt idx="61">
                  <c:v>2.6</c:v>
                </c:pt>
                <c:pt idx="62">
                  <c:v>2.7000000000000099</c:v>
                </c:pt>
                <c:pt idx="63">
                  <c:v>2.80000000000001</c:v>
                </c:pt>
                <c:pt idx="64">
                  <c:v>2.9000000000000101</c:v>
                </c:pt>
                <c:pt idx="65">
                  <c:v>3.0000000000000102</c:v>
                </c:pt>
                <c:pt idx="66">
                  <c:v>3.1000000000000099</c:v>
                </c:pt>
                <c:pt idx="67">
                  <c:v>3.2000000000000099</c:v>
                </c:pt>
                <c:pt idx="68">
                  <c:v>3.30000000000001</c:v>
                </c:pt>
                <c:pt idx="69">
                  <c:v>3.4000000000000101</c:v>
                </c:pt>
                <c:pt idx="70">
                  <c:v>3.5000000000000102</c:v>
                </c:pt>
              </c:numCache>
            </c:numRef>
          </c:xVal>
          <c:yVal>
            <c:numRef>
              <c:f>'Selection intensity calulator'!$B$100:$B$170</c:f>
              <c:numCache>
                <c:formatCode>General</c:formatCode>
                <c:ptCount val="71"/>
                <c:pt idx="0">
                  <c:v>8.7268269504576015E-4</c:v>
                </c:pt>
                <c:pt idx="1">
                  <c:v>1.2322191684730199E-3</c:v>
                </c:pt>
                <c:pt idx="2">
                  <c:v>1.7225689390536812E-3</c:v>
                </c:pt>
                <c:pt idx="3">
                  <c:v>2.3840882014648404E-3</c:v>
                </c:pt>
                <c:pt idx="4">
                  <c:v>3.2668190561999182E-3</c:v>
                </c:pt>
                <c:pt idx="5">
                  <c:v>4.4318484119380075E-3</c:v>
                </c:pt>
                <c:pt idx="6">
                  <c:v>5.9525324197758538E-3</c:v>
                </c:pt>
                <c:pt idx="7">
                  <c:v>7.9154515829799686E-3</c:v>
                </c:pt>
                <c:pt idx="8">
                  <c:v>1.0420934814422592E-2</c:v>
                </c:pt>
                <c:pt idx="9">
                  <c:v>1.3582969233685613E-2</c:v>
                </c:pt>
                <c:pt idx="10">
                  <c:v>1.752830049356854E-2</c:v>
                </c:pt>
                <c:pt idx="11">
                  <c:v>2.2394530294842899E-2</c:v>
                </c:pt>
                <c:pt idx="12">
                  <c:v>2.8327037741601186E-2</c:v>
                </c:pt>
                <c:pt idx="13">
                  <c:v>3.5474592846231424E-2</c:v>
                </c:pt>
                <c:pt idx="14">
                  <c:v>4.3983595980427191E-2</c:v>
                </c:pt>
                <c:pt idx="15">
                  <c:v>5.3990966513188063E-2</c:v>
                </c:pt>
                <c:pt idx="16">
                  <c:v>6.5615814774676595E-2</c:v>
                </c:pt>
                <c:pt idx="17">
                  <c:v>7.8950158300894149E-2</c:v>
                </c:pt>
                <c:pt idx="18">
                  <c:v>9.4049077376886947E-2</c:v>
                </c:pt>
                <c:pt idx="19">
                  <c:v>0.11092083467945554</c:v>
                </c:pt>
                <c:pt idx="20">
                  <c:v>0.12951759566589174</c:v>
                </c:pt>
                <c:pt idx="21">
                  <c:v>0.14972746563574488</c:v>
                </c:pt>
                <c:pt idx="22">
                  <c:v>0.17136859204780736</c:v>
                </c:pt>
                <c:pt idx="23">
                  <c:v>0.19418605498321295</c:v>
                </c:pt>
                <c:pt idx="24">
                  <c:v>0.21785217703255053</c:v>
                </c:pt>
                <c:pt idx="25">
                  <c:v>0.24197072451914337</c:v>
                </c:pt>
                <c:pt idx="26">
                  <c:v>0.26608524989875482</c:v>
                </c:pt>
                <c:pt idx="27">
                  <c:v>0.28969155276148273</c:v>
                </c:pt>
                <c:pt idx="28">
                  <c:v>0.31225393336676127</c:v>
                </c:pt>
                <c:pt idx="29">
                  <c:v>0.33322460289179967</c:v>
                </c:pt>
                <c:pt idx="30">
                  <c:v>0.35206532676429952</c:v>
                </c:pt>
                <c:pt idx="31">
                  <c:v>0.36827014030332333</c:v>
                </c:pt>
                <c:pt idx="32">
                  <c:v>0.38138781546052414</c:v>
                </c:pt>
                <c:pt idx="33">
                  <c:v>0.39104269397545588</c:v>
                </c:pt>
                <c:pt idx="34">
                  <c:v>0.39695254747701181</c:v>
                </c:pt>
                <c:pt idx="35">
                  <c:v>0.3989422804014327</c:v>
                </c:pt>
                <c:pt idx="36">
                  <c:v>0.39695254747701181</c:v>
                </c:pt>
                <c:pt idx="37">
                  <c:v>0.39104269397545588</c:v>
                </c:pt>
                <c:pt idx="38">
                  <c:v>0.38138781546052414</c:v>
                </c:pt>
                <c:pt idx="39">
                  <c:v>0.36827014030332333</c:v>
                </c:pt>
                <c:pt idx="40">
                  <c:v>0.35206532676429952</c:v>
                </c:pt>
                <c:pt idx="41">
                  <c:v>0.33322460289179967</c:v>
                </c:pt>
                <c:pt idx="42">
                  <c:v>0.31225393336676127</c:v>
                </c:pt>
                <c:pt idx="43">
                  <c:v>0.28969155276148273</c:v>
                </c:pt>
                <c:pt idx="44">
                  <c:v>0.26608524989875482</c:v>
                </c:pt>
                <c:pt idx="45">
                  <c:v>0.24197072451914337</c:v>
                </c:pt>
                <c:pt idx="46">
                  <c:v>0.21785217703255053</c:v>
                </c:pt>
                <c:pt idx="47">
                  <c:v>0.19418605498321295</c:v>
                </c:pt>
                <c:pt idx="48">
                  <c:v>0.17136859204780736</c:v>
                </c:pt>
                <c:pt idx="49">
                  <c:v>0.14972746563574488</c:v>
                </c:pt>
                <c:pt idx="50">
                  <c:v>0.12951759566589174</c:v>
                </c:pt>
                <c:pt idx="51">
                  <c:v>0.11092083467945554</c:v>
                </c:pt>
                <c:pt idx="52">
                  <c:v>9.4049077376886947E-2</c:v>
                </c:pt>
                <c:pt idx="53">
                  <c:v>7.8950158300894149E-2</c:v>
                </c:pt>
                <c:pt idx="54">
                  <c:v>6.5615814774676595E-2</c:v>
                </c:pt>
                <c:pt idx="55">
                  <c:v>5.3990966513186953E-2</c:v>
                </c:pt>
                <c:pt idx="56">
                  <c:v>4.3983595980427191E-2</c:v>
                </c:pt>
                <c:pt idx="57">
                  <c:v>3.5474592846231424E-2</c:v>
                </c:pt>
                <c:pt idx="58">
                  <c:v>2.8327037741600516E-2</c:v>
                </c:pt>
                <c:pt idx="59">
                  <c:v>2.2394530294842355E-2</c:v>
                </c:pt>
                <c:pt idx="60">
                  <c:v>1.7528300493568086E-2</c:v>
                </c:pt>
                <c:pt idx="61">
                  <c:v>1.3582969233685613E-2</c:v>
                </c:pt>
                <c:pt idx="62">
                  <c:v>1.0420934814422318E-2</c:v>
                </c:pt>
                <c:pt idx="63">
                  <c:v>7.915451582979743E-3</c:v>
                </c:pt>
                <c:pt idx="64">
                  <c:v>5.9525324197756795E-3</c:v>
                </c:pt>
                <c:pt idx="65">
                  <c:v>4.431848411937874E-3</c:v>
                </c:pt>
                <c:pt idx="66">
                  <c:v>3.2668190561998202E-3</c:v>
                </c:pt>
                <c:pt idx="67">
                  <c:v>2.3840882014647662E-3</c:v>
                </c:pt>
                <c:pt idx="68">
                  <c:v>1.7225689390536229E-3</c:v>
                </c:pt>
                <c:pt idx="69">
                  <c:v>1.2322191684729772E-3</c:v>
                </c:pt>
                <c:pt idx="70">
                  <c:v>8.7268269504572915E-4</c:v>
                </c:pt>
              </c:numCache>
            </c:numRef>
          </c:yVal>
          <c:smooth val="1"/>
        </c:ser>
        <c:ser>
          <c:idx val="1"/>
          <c:order val="1"/>
          <c:tx>
            <c:v>selection threshold</c:v>
          </c:tx>
          <c:spPr>
            <a:ln w="50800"/>
          </c:spPr>
          <c:marker>
            <c:symbol val="none"/>
          </c:marker>
          <c:xVal>
            <c:numRef>
              <c:f>'Selection intensity calulator'!$C$100:$C$101</c:f>
              <c:numCache>
                <c:formatCode>0.0000</c:formatCode>
                <c:ptCount val="2"/>
                <c:pt idx="0">
                  <c:v>1.2815515655446006</c:v>
                </c:pt>
                <c:pt idx="1">
                  <c:v>1.2815515655446006</c:v>
                </c:pt>
              </c:numCache>
            </c:numRef>
          </c:xVal>
          <c:yVal>
            <c:numRef>
              <c:f>'Selection intensity calulator'!$D$100:$D$101</c:f>
              <c:numCache>
                <c:formatCode>0.00000000</c:formatCode>
                <c:ptCount val="2"/>
                <c:pt idx="0" formatCode="General">
                  <c:v>0</c:v>
                </c:pt>
                <c:pt idx="1">
                  <c:v>0.18418605498321294</c:v>
                </c:pt>
              </c:numCache>
            </c:numRef>
          </c:yVal>
          <c:smooth val="1"/>
        </c:ser>
        <c:ser>
          <c:idx val="2"/>
          <c:order val="2"/>
          <c:tx>
            <c:v>mean of selected</c:v>
          </c:tx>
          <c:spPr>
            <a:ln w="50800"/>
          </c:spPr>
          <c:marker>
            <c:symbol val="none"/>
          </c:marker>
          <c:xVal>
            <c:numRef>
              <c:f>'Selection intensity calulator'!$C$102:$C$103</c:f>
              <c:numCache>
                <c:formatCode>0.0000</c:formatCode>
                <c:ptCount val="2"/>
                <c:pt idx="0">
                  <c:v>1.7549833193248678</c:v>
                </c:pt>
                <c:pt idx="1">
                  <c:v>1.7549833193248678</c:v>
                </c:pt>
              </c:numCache>
            </c:numRef>
          </c:xVal>
          <c:yVal>
            <c:numRef>
              <c:f>'Selection intensity calulator'!$D$102:$D$103</c:f>
              <c:numCache>
                <c:formatCode>0.00000000</c:formatCode>
                <c:ptCount val="2"/>
                <c:pt idx="0">
                  <c:v>0</c:v>
                </c:pt>
                <c:pt idx="1">
                  <c:v>8.4049077376886952E-2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250816"/>
        <c:axId val="171252352"/>
      </c:scatterChart>
      <c:valAx>
        <c:axId val="171250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1252352"/>
        <c:crosses val="autoZero"/>
        <c:crossBetween val="midCat"/>
      </c:valAx>
      <c:valAx>
        <c:axId val="17125235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71250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230836947354979"/>
          <c:y val="0.38875889333939018"/>
          <c:w val="0.2852566892738238"/>
          <c:h val="0.2084309729349742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normal density</c:v>
          </c:tx>
          <c:marker>
            <c:symbol val="none"/>
          </c:marker>
          <c:xVal>
            <c:numRef>
              <c:f>'Selection intensity curves'!$A$100:$A$170</c:f>
              <c:numCache>
                <c:formatCode>General</c:formatCode>
                <c:ptCount val="71"/>
                <c:pt idx="0">
                  <c:v>-3.5</c:v>
                </c:pt>
                <c:pt idx="1">
                  <c:v>-3.4</c:v>
                </c:pt>
                <c:pt idx="2">
                  <c:v>-3.3</c:v>
                </c:pt>
                <c:pt idx="3">
                  <c:v>-3.2</c:v>
                </c:pt>
                <c:pt idx="4">
                  <c:v>-3.1</c:v>
                </c:pt>
                <c:pt idx="5">
                  <c:v>-3</c:v>
                </c:pt>
                <c:pt idx="6">
                  <c:v>-2.9</c:v>
                </c:pt>
                <c:pt idx="7">
                  <c:v>-2.8</c:v>
                </c:pt>
                <c:pt idx="8">
                  <c:v>-2.7</c:v>
                </c:pt>
                <c:pt idx="9">
                  <c:v>-2.6</c:v>
                </c:pt>
                <c:pt idx="10">
                  <c:v>-2.5</c:v>
                </c:pt>
                <c:pt idx="11">
                  <c:v>-2.4</c:v>
                </c:pt>
                <c:pt idx="12">
                  <c:v>-2.2999999999999998</c:v>
                </c:pt>
                <c:pt idx="13">
                  <c:v>-2.2000000000000002</c:v>
                </c:pt>
                <c:pt idx="14">
                  <c:v>-2.1</c:v>
                </c:pt>
                <c:pt idx="15">
                  <c:v>-2</c:v>
                </c:pt>
                <c:pt idx="16">
                  <c:v>-1.9</c:v>
                </c:pt>
                <c:pt idx="17">
                  <c:v>-1.8</c:v>
                </c:pt>
                <c:pt idx="18">
                  <c:v>-1.7</c:v>
                </c:pt>
                <c:pt idx="19">
                  <c:v>-1.6</c:v>
                </c:pt>
                <c:pt idx="20">
                  <c:v>-1.5</c:v>
                </c:pt>
                <c:pt idx="21">
                  <c:v>-1.4</c:v>
                </c:pt>
                <c:pt idx="22">
                  <c:v>-1.3</c:v>
                </c:pt>
                <c:pt idx="23">
                  <c:v>-1.2</c:v>
                </c:pt>
                <c:pt idx="24">
                  <c:v>-1.1000000000000001</c:v>
                </c:pt>
                <c:pt idx="25">
                  <c:v>-1</c:v>
                </c:pt>
                <c:pt idx="26">
                  <c:v>-0.9</c:v>
                </c:pt>
                <c:pt idx="27">
                  <c:v>-0.8</c:v>
                </c:pt>
                <c:pt idx="28">
                  <c:v>-0.7</c:v>
                </c:pt>
                <c:pt idx="29">
                  <c:v>-0.6</c:v>
                </c:pt>
                <c:pt idx="30">
                  <c:v>-0.5</c:v>
                </c:pt>
                <c:pt idx="31">
                  <c:v>-0.4</c:v>
                </c:pt>
                <c:pt idx="32">
                  <c:v>-0.3</c:v>
                </c:pt>
                <c:pt idx="33">
                  <c:v>-0.2</c:v>
                </c:pt>
                <c:pt idx="34">
                  <c:v>-0.1</c:v>
                </c:pt>
                <c:pt idx="35">
                  <c:v>0</c:v>
                </c:pt>
                <c:pt idx="36">
                  <c:v>0.1</c:v>
                </c:pt>
                <c:pt idx="37">
                  <c:v>0.2</c:v>
                </c:pt>
                <c:pt idx="38">
                  <c:v>0.3</c:v>
                </c:pt>
                <c:pt idx="39">
                  <c:v>0.4</c:v>
                </c:pt>
                <c:pt idx="40">
                  <c:v>0.5</c:v>
                </c:pt>
                <c:pt idx="41">
                  <c:v>0.6</c:v>
                </c:pt>
                <c:pt idx="42">
                  <c:v>0.7</c:v>
                </c:pt>
                <c:pt idx="43">
                  <c:v>0.8</c:v>
                </c:pt>
                <c:pt idx="44">
                  <c:v>0.9</c:v>
                </c:pt>
                <c:pt idx="45">
                  <c:v>1</c:v>
                </c:pt>
                <c:pt idx="46">
                  <c:v>1.1000000000000001</c:v>
                </c:pt>
                <c:pt idx="47">
                  <c:v>1.2</c:v>
                </c:pt>
                <c:pt idx="48">
                  <c:v>1.3</c:v>
                </c:pt>
                <c:pt idx="49">
                  <c:v>1.4</c:v>
                </c:pt>
                <c:pt idx="50">
                  <c:v>1.5</c:v>
                </c:pt>
                <c:pt idx="51">
                  <c:v>1.6</c:v>
                </c:pt>
                <c:pt idx="52">
                  <c:v>1.7</c:v>
                </c:pt>
                <c:pt idx="53">
                  <c:v>1.8</c:v>
                </c:pt>
                <c:pt idx="54">
                  <c:v>1.9</c:v>
                </c:pt>
                <c:pt idx="55">
                  <c:v>2.0000000000000102</c:v>
                </c:pt>
                <c:pt idx="56">
                  <c:v>2.1</c:v>
                </c:pt>
                <c:pt idx="57">
                  <c:v>2.2000000000000002</c:v>
                </c:pt>
                <c:pt idx="58">
                  <c:v>2.30000000000001</c:v>
                </c:pt>
                <c:pt idx="59">
                  <c:v>2.4000000000000101</c:v>
                </c:pt>
                <c:pt idx="60">
                  <c:v>2.5000000000000102</c:v>
                </c:pt>
                <c:pt idx="61">
                  <c:v>2.6</c:v>
                </c:pt>
                <c:pt idx="62">
                  <c:v>2.7000000000000099</c:v>
                </c:pt>
                <c:pt idx="63">
                  <c:v>2.80000000000001</c:v>
                </c:pt>
                <c:pt idx="64">
                  <c:v>2.9000000000000101</c:v>
                </c:pt>
                <c:pt idx="65">
                  <c:v>3.0000000000000102</c:v>
                </c:pt>
                <c:pt idx="66">
                  <c:v>3.1000000000000099</c:v>
                </c:pt>
                <c:pt idx="67">
                  <c:v>3.2000000000000099</c:v>
                </c:pt>
                <c:pt idx="68">
                  <c:v>3.30000000000001</c:v>
                </c:pt>
                <c:pt idx="69">
                  <c:v>3.4000000000000101</c:v>
                </c:pt>
                <c:pt idx="70">
                  <c:v>3.5000000000000102</c:v>
                </c:pt>
              </c:numCache>
            </c:numRef>
          </c:xVal>
          <c:yVal>
            <c:numRef>
              <c:f>'Selection intensity curves'!$B$100:$B$170</c:f>
              <c:numCache>
                <c:formatCode>General</c:formatCode>
                <c:ptCount val="71"/>
                <c:pt idx="0">
                  <c:v>8.7268269504576015E-4</c:v>
                </c:pt>
                <c:pt idx="1">
                  <c:v>1.2322191684730199E-3</c:v>
                </c:pt>
                <c:pt idx="2">
                  <c:v>1.7225689390536812E-3</c:v>
                </c:pt>
                <c:pt idx="3">
                  <c:v>2.3840882014648404E-3</c:v>
                </c:pt>
                <c:pt idx="4">
                  <c:v>3.2668190561999182E-3</c:v>
                </c:pt>
                <c:pt idx="5">
                  <c:v>4.4318484119380075E-3</c:v>
                </c:pt>
                <c:pt idx="6">
                  <c:v>5.9525324197758538E-3</c:v>
                </c:pt>
                <c:pt idx="7">
                  <c:v>7.9154515829799686E-3</c:v>
                </c:pt>
                <c:pt idx="8">
                  <c:v>1.0420934814422592E-2</c:v>
                </c:pt>
                <c:pt idx="9">
                  <c:v>1.3582969233685613E-2</c:v>
                </c:pt>
                <c:pt idx="10">
                  <c:v>1.752830049356854E-2</c:v>
                </c:pt>
                <c:pt idx="11">
                  <c:v>2.2394530294842899E-2</c:v>
                </c:pt>
                <c:pt idx="12">
                  <c:v>2.8327037741601186E-2</c:v>
                </c:pt>
                <c:pt idx="13">
                  <c:v>3.5474592846231424E-2</c:v>
                </c:pt>
                <c:pt idx="14">
                  <c:v>4.3983595980427191E-2</c:v>
                </c:pt>
                <c:pt idx="15">
                  <c:v>5.3990966513188063E-2</c:v>
                </c:pt>
                <c:pt idx="16">
                  <c:v>6.5615814774676595E-2</c:v>
                </c:pt>
                <c:pt idx="17">
                  <c:v>7.8950158300894149E-2</c:v>
                </c:pt>
                <c:pt idx="18">
                  <c:v>9.4049077376886947E-2</c:v>
                </c:pt>
                <c:pt idx="19">
                  <c:v>0.11092083467945554</c:v>
                </c:pt>
                <c:pt idx="20">
                  <c:v>0.12951759566589174</c:v>
                </c:pt>
                <c:pt idx="21">
                  <c:v>0.14972746563574488</c:v>
                </c:pt>
                <c:pt idx="22">
                  <c:v>0.17136859204780736</c:v>
                </c:pt>
                <c:pt idx="23">
                  <c:v>0.19418605498321295</c:v>
                </c:pt>
                <c:pt idx="24">
                  <c:v>0.21785217703255053</c:v>
                </c:pt>
                <c:pt idx="25">
                  <c:v>0.24197072451914337</c:v>
                </c:pt>
                <c:pt idx="26">
                  <c:v>0.26608524989875482</c:v>
                </c:pt>
                <c:pt idx="27">
                  <c:v>0.28969155276148273</c:v>
                </c:pt>
                <c:pt idx="28">
                  <c:v>0.31225393336676127</c:v>
                </c:pt>
                <c:pt idx="29">
                  <c:v>0.33322460289179967</c:v>
                </c:pt>
                <c:pt idx="30">
                  <c:v>0.35206532676429952</c:v>
                </c:pt>
                <c:pt idx="31">
                  <c:v>0.36827014030332333</c:v>
                </c:pt>
                <c:pt idx="32">
                  <c:v>0.38138781546052414</c:v>
                </c:pt>
                <c:pt idx="33">
                  <c:v>0.39104269397545588</c:v>
                </c:pt>
                <c:pt idx="34">
                  <c:v>0.39695254747701181</c:v>
                </c:pt>
                <c:pt idx="35">
                  <c:v>0.3989422804014327</c:v>
                </c:pt>
                <c:pt idx="36">
                  <c:v>0.39695254747701181</c:v>
                </c:pt>
                <c:pt idx="37">
                  <c:v>0.39104269397545588</c:v>
                </c:pt>
                <c:pt idx="38">
                  <c:v>0.38138781546052414</c:v>
                </c:pt>
                <c:pt idx="39">
                  <c:v>0.36827014030332333</c:v>
                </c:pt>
                <c:pt idx="40">
                  <c:v>0.35206532676429952</c:v>
                </c:pt>
                <c:pt idx="41">
                  <c:v>0.33322460289179967</c:v>
                </c:pt>
                <c:pt idx="42">
                  <c:v>0.31225393336676127</c:v>
                </c:pt>
                <c:pt idx="43">
                  <c:v>0.28969155276148273</c:v>
                </c:pt>
                <c:pt idx="44">
                  <c:v>0.26608524989875482</c:v>
                </c:pt>
                <c:pt idx="45">
                  <c:v>0.24197072451914337</c:v>
                </c:pt>
                <c:pt idx="46">
                  <c:v>0.21785217703255053</c:v>
                </c:pt>
                <c:pt idx="47">
                  <c:v>0.19418605498321295</c:v>
                </c:pt>
                <c:pt idx="48">
                  <c:v>0.17136859204780736</c:v>
                </c:pt>
                <c:pt idx="49">
                  <c:v>0.14972746563574488</c:v>
                </c:pt>
                <c:pt idx="50">
                  <c:v>0.12951759566589174</c:v>
                </c:pt>
                <c:pt idx="51">
                  <c:v>0.11092083467945554</c:v>
                </c:pt>
                <c:pt idx="52">
                  <c:v>9.4049077376886947E-2</c:v>
                </c:pt>
                <c:pt idx="53">
                  <c:v>7.8950158300894149E-2</c:v>
                </c:pt>
                <c:pt idx="54">
                  <c:v>6.5615814774676595E-2</c:v>
                </c:pt>
                <c:pt idx="55">
                  <c:v>5.3990966513186953E-2</c:v>
                </c:pt>
                <c:pt idx="56">
                  <c:v>4.3983595980427191E-2</c:v>
                </c:pt>
                <c:pt idx="57">
                  <c:v>3.5474592846231424E-2</c:v>
                </c:pt>
                <c:pt idx="58">
                  <c:v>2.8327037741600516E-2</c:v>
                </c:pt>
                <c:pt idx="59">
                  <c:v>2.2394530294842355E-2</c:v>
                </c:pt>
                <c:pt idx="60">
                  <c:v>1.7528300493568086E-2</c:v>
                </c:pt>
                <c:pt idx="61">
                  <c:v>1.3582969233685613E-2</c:v>
                </c:pt>
                <c:pt idx="62">
                  <c:v>1.0420934814422318E-2</c:v>
                </c:pt>
                <c:pt idx="63">
                  <c:v>7.915451582979743E-3</c:v>
                </c:pt>
                <c:pt idx="64">
                  <c:v>5.9525324197756795E-3</c:v>
                </c:pt>
                <c:pt idx="65">
                  <c:v>4.431848411937874E-3</c:v>
                </c:pt>
                <c:pt idx="66">
                  <c:v>3.2668190561998202E-3</c:v>
                </c:pt>
                <c:pt idx="67">
                  <c:v>2.3840882014647662E-3</c:v>
                </c:pt>
                <c:pt idx="68">
                  <c:v>1.7225689390536229E-3</c:v>
                </c:pt>
                <c:pt idx="69">
                  <c:v>1.2322191684729772E-3</c:v>
                </c:pt>
                <c:pt idx="70">
                  <c:v>8.7268269504572915E-4</c:v>
                </c:pt>
              </c:numCache>
            </c:numRef>
          </c:yVal>
          <c:smooth val="1"/>
        </c:ser>
        <c:ser>
          <c:idx val="1"/>
          <c:order val="1"/>
          <c:tx>
            <c:v>selection threshold</c:v>
          </c:tx>
          <c:spPr>
            <a:ln w="50800"/>
          </c:spPr>
          <c:marker>
            <c:symbol val="none"/>
          </c:marker>
          <c:xVal>
            <c:numRef>
              <c:f>'Selection intensity curves'!$C$100:$C$101</c:f>
              <c:numCache>
                <c:formatCode>0.0000</c:formatCode>
                <c:ptCount val="2"/>
                <c:pt idx="0">
                  <c:v>-2.3263478740408408</c:v>
                </c:pt>
                <c:pt idx="1">
                  <c:v>-2.3263478740408408</c:v>
                </c:pt>
              </c:numCache>
            </c:numRef>
          </c:xVal>
          <c:yVal>
            <c:numRef>
              <c:f>'Selection intensity curves'!$D$100:$D$101</c:f>
              <c:numCache>
                <c:formatCode>0.00000000</c:formatCode>
                <c:ptCount val="2"/>
                <c:pt idx="0" formatCode="General">
                  <c:v>0</c:v>
                </c:pt>
                <c:pt idx="1">
                  <c:v>1.2394530294842899E-2</c:v>
                </c:pt>
              </c:numCache>
            </c:numRef>
          </c:yVal>
          <c:smooth val="1"/>
        </c:ser>
        <c:ser>
          <c:idx val="2"/>
          <c:order val="2"/>
          <c:tx>
            <c:v>mean of selected</c:v>
          </c:tx>
          <c:spPr>
            <a:ln w="50800"/>
          </c:spPr>
          <c:marker>
            <c:symbol val="none"/>
          </c:marker>
          <c:xVal>
            <c:numRef>
              <c:f>'Selection intensity curves'!$C$102:$C$103</c:f>
              <c:numCache>
                <c:formatCode>0.0000</c:formatCode>
                <c:ptCount val="2"/>
                <c:pt idx="0">
                  <c:v>2.6921355761068768E-2</c:v>
                </c:pt>
                <c:pt idx="1">
                  <c:v>2.6921355761068768E-2</c:v>
                </c:pt>
              </c:numCache>
            </c:numRef>
          </c:xVal>
          <c:yVal>
            <c:numRef>
              <c:f>'Selection intensity curves'!$D$102:$D$103</c:f>
              <c:numCache>
                <c:formatCode>0.00000000</c:formatCode>
                <c:ptCount val="2"/>
                <c:pt idx="0">
                  <c:v>0</c:v>
                </c:pt>
                <c:pt idx="1">
                  <c:v>0.38894228040143269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526144"/>
        <c:axId val="187536128"/>
      </c:scatterChart>
      <c:valAx>
        <c:axId val="187526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87536128"/>
        <c:crosses val="autoZero"/>
        <c:crossBetween val="midCat"/>
      </c:valAx>
      <c:valAx>
        <c:axId val="1875361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875261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230836947354979"/>
          <c:y val="0.38875889333939018"/>
          <c:w val="0.2852566892738238"/>
          <c:h val="0.2084309729349742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Threshold</c:v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'Selection intensity curves'!$F$101:$F$199</c:f>
              <c:numCache>
                <c:formatCode>General</c:formatCode>
                <c:ptCount val="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</c:numCache>
            </c:numRef>
          </c:xVal>
          <c:yVal>
            <c:numRef>
              <c:f>'Selection intensity curves'!$G$101:$G$199</c:f>
              <c:numCache>
                <c:formatCode>General</c:formatCode>
                <c:ptCount val="99"/>
                <c:pt idx="0">
                  <c:v>2.3263478740408408</c:v>
                </c:pt>
                <c:pt idx="1">
                  <c:v>2.0537489106318225</c:v>
                </c:pt>
                <c:pt idx="2">
                  <c:v>1.8807936081512509</c:v>
                </c:pt>
                <c:pt idx="3">
                  <c:v>1.7506860712521695</c:v>
                </c:pt>
                <c:pt idx="4">
                  <c:v>1.6448536269514726</c:v>
                </c:pt>
                <c:pt idx="5">
                  <c:v>1.554773594596853</c:v>
                </c:pt>
                <c:pt idx="6">
                  <c:v>1.4757910281791702</c:v>
                </c:pt>
                <c:pt idx="7">
                  <c:v>1.4050715603096353</c:v>
                </c:pt>
                <c:pt idx="8">
                  <c:v>1.3407550336902161</c:v>
                </c:pt>
                <c:pt idx="9">
                  <c:v>1.2815515655446006</c:v>
                </c:pt>
                <c:pt idx="10">
                  <c:v>1.2265281200366105</c:v>
                </c:pt>
                <c:pt idx="11">
                  <c:v>1.1749867920660904</c:v>
                </c:pt>
                <c:pt idx="12">
                  <c:v>1.1263911290388013</c:v>
                </c:pt>
                <c:pt idx="13">
                  <c:v>1.0803193408149565</c:v>
                </c:pt>
                <c:pt idx="14">
                  <c:v>1.0364333894937898</c:v>
                </c:pt>
                <c:pt idx="15">
                  <c:v>0.9944578832097497</c:v>
                </c:pt>
                <c:pt idx="16">
                  <c:v>0.95416525314619549</c:v>
                </c:pt>
                <c:pt idx="17">
                  <c:v>0.91536508784281501</c:v>
                </c:pt>
                <c:pt idx="18">
                  <c:v>0.87789629505122846</c:v>
                </c:pt>
                <c:pt idx="19">
                  <c:v>0.84162123357291452</c:v>
                </c:pt>
                <c:pt idx="20">
                  <c:v>0.80642124701824058</c:v>
                </c:pt>
                <c:pt idx="21">
                  <c:v>0.77219321418868503</c:v>
                </c:pt>
                <c:pt idx="22">
                  <c:v>0.73884684918521393</c:v>
                </c:pt>
                <c:pt idx="23">
                  <c:v>0.7063025628400873</c:v>
                </c:pt>
                <c:pt idx="24">
                  <c:v>0.67448975019608193</c:v>
                </c:pt>
                <c:pt idx="25">
                  <c:v>0.64334540539291696</c:v>
                </c:pt>
                <c:pt idx="26">
                  <c:v>0.61281299101662734</c:v>
                </c:pt>
                <c:pt idx="27">
                  <c:v>0.58284150727121631</c:v>
                </c:pt>
                <c:pt idx="28">
                  <c:v>0.55338471955567303</c:v>
                </c:pt>
                <c:pt idx="29">
                  <c:v>0.52440051270804089</c:v>
                </c:pt>
                <c:pt idx="30">
                  <c:v>0.49585034734745354</c:v>
                </c:pt>
                <c:pt idx="31">
                  <c:v>0.46769879911450829</c:v>
                </c:pt>
                <c:pt idx="32">
                  <c:v>0.43991316567323374</c:v>
                </c:pt>
                <c:pt idx="33">
                  <c:v>0.41246312944140484</c:v>
                </c:pt>
                <c:pt idx="34">
                  <c:v>0.38532046640756784</c:v>
                </c:pt>
                <c:pt idx="35">
                  <c:v>0.35845879325119384</c:v>
                </c:pt>
                <c:pt idx="36">
                  <c:v>0.33185334643681658</c:v>
                </c:pt>
                <c:pt idx="37">
                  <c:v>0.30548078809939727</c:v>
                </c:pt>
                <c:pt idx="38">
                  <c:v>0.27931903444745415</c:v>
                </c:pt>
                <c:pt idx="39">
                  <c:v>0.25334710313579978</c:v>
                </c:pt>
                <c:pt idx="40">
                  <c:v>0.2275449766411495</c:v>
                </c:pt>
                <c:pt idx="41">
                  <c:v>0.20189347914185088</c:v>
                </c:pt>
                <c:pt idx="42">
                  <c:v>0.17637416478086138</c:v>
                </c:pt>
                <c:pt idx="43">
                  <c:v>0.15096921549677725</c:v>
                </c:pt>
                <c:pt idx="44">
                  <c:v>0.12566134685507402</c:v>
                </c:pt>
                <c:pt idx="45">
                  <c:v>0.10043372051146976</c:v>
                </c:pt>
                <c:pt idx="46">
                  <c:v>7.5269862099829901E-2</c:v>
                </c:pt>
                <c:pt idx="47">
                  <c:v>5.0153583464733656E-2</c:v>
                </c:pt>
                <c:pt idx="48">
                  <c:v>2.506890825871106E-2</c:v>
                </c:pt>
                <c:pt idx="49">
                  <c:v>0</c:v>
                </c:pt>
                <c:pt idx="50">
                  <c:v>-2.506890825871106E-2</c:v>
                </c:pt>
                <c:pt idx="51">
                  <c:v>-5.0153583464733656E-2</c:v>
                </c:pt>
                <c:pt idx="52">
                  <c:v>-7.5269862099829901E-2</c:v>
                </c:pt>
                <c:pt idx="53">
                  <c:v>-0.10043372051146988</c:v>
                </c:pt>
                <c:pt idx="54">
                  <c:v>-0.12566134685507416</c:v>
                </c:pt>
                <c:pt idx="55">
                  <c:v>-0.15096921549677741</c:v>
                </c:pt>
                <c:pt idx="56">
                  <c:v>-0.17637416478086121</c:v>
                </c:pt>
                <c:pt idx="57">
                  <c:v>-0.20189347914185077</c:v>
                </c:pt>
                <c:pt idx="58">
                  <c:v>-0.22754497664114934</c:v>
                </c:pt>
                <c:pt idx="59">
                  <c:v>-0.25334710313579978</c:v>
                </c:pt>
                <c:pt idx="60">
                  <c:v>-0.27931903444745415</c:v>
                </c:pt>
                <c:pt idx="61">
                  <c:v>-0.30548078809939727</c:v>
                </c:pt>
                <c:pt idx="62">
                  <c:v>-0.33185334643681658</c:v>
                </c:pt>
                <c:pt idx="63">
                  <c:v>-0.35845879325119384</c:v>
                </c:pt>
                <c:pt idx="64">
                  <c:v>-0.38532046640756784</c:v>
                </c:pt>
                <c:pt idx="65">
                  <c:v>-0.41246312944140473</c:v>
                </c:pt>
                <c:pt idx="66">
                  <c:v>-0.43991316567323396</c:v>
                </c:pt>
                <c:pt idx="67">
                  <c:v>-0.46769879911450835</c:v>
                </c:pt>
                <c:pt idx="68">
                  <c:v>-0.49585034734745331</c:v>
                </c:pt>
                <c:pt idx="69">
                  <c:v>-0.52440051270804078</c:v>
                </c:pt>
                <c:pt idx="70">
                  <c:v>-0.5533847195556727</c:v>
                </c:pt>
                <c:pt idx="71">
                  <c:v>-0.58284150727121631</c:v>
                </c:pt>
                <c:pt idx="72">
                  <c:v>-0.61281299101662734</c:v>
                </c:pt>
                <c:pt idx="73">
                  <c:v>-0.64334540539291696</c:v>
                </c:pt>
                <c:pt idx="74">
                  <c:v>-0.67448975019608193</c:v>
                </c:pt>
                <c:pt idx="75">
                  <c:v>-0.7063025628400873</c:v>
                </c:pt>
                <c:pt idx="76">
                  <c:v>-0.73884684918521393</c:v>
                </c:pt>
                <c:pt idx="77">
                  <c:v>-0.77219321418868503</c:v>
                </c:pt>
                <c:pt idx="78">
                  <c:v>-0.80642124701824058</c:v>
                </c:pt>
                <c:pt idx="79">
                  <c:v>-0.84162123357291474</c:v>
                </c:pt>
                <c:pt idx="80">
                  <c:v>-0.87789629505122857</c:v>
                </c:pt>
                <c:pt idx="81">
                  <c:v>-0.91536508784281256</c:v>
                </c:pt>
                <c:pt idx="82">
                  <c:v>-0.95416525314619549</c:v>
                </c:pt>
                <c:pt idx="83">
                  <c:v>-0.9944578832097497</c:v>
                </c:pt>
                <c:pt idx="84">
                  <c:v>-1.0364333894937898</c:v>
                </c:pt>
                <c:pt idx="85">
                  <c:v>-1.0803193408149565</c:v>
                </c:pt>
                <c:pt idx="86">
                  <c:v>-1.1263911290388013</c:v>
                </c:pt>
                <c:pt idx="87">
                  <c:v>-1.1749867920660904</c:v>
                </c:pt>
                <c:pt idx="88">
                  <c:v>-1.2265281200366105</c:v>
                </c:pt>
                <c:pt idx="89">
                  <c:v>-1.2815515655446006</c:v>
                </c:pt>
                <c:pt idx="90">
                  <c:v>-1.3407550336902161</c:v>
                </c:pt>
                <c:pt idx="91">
                  <c:v>-1.4050715603096329</c:v>
                </c:pt>
                <c:pt idx="92">
                  <c:v>-1.4757910281791713</c:v>
                </c:pt>
                <c:pt idx="93">
                  <c:v>-1.5547735945968528</c:v>
                </c:pt>
                <c:pt idx="94">
                  <c:v>-1.6448536269514715</c:v>
                </c:pt>
                <c:pt idx="95">
                  <c:v>-1.7506860712521695</c:v>
                </c:pt>
                <c:pt idx="96">
                  <c:v>-1.8807936081512504</c:v>
                </c:pt>
                <c:pt idx="97">
                  <c:v>-2.0537489106318221</c:v>
                </c:pt>
                <c:pt idx="98">
                  <c:v>-2.3263478740408408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'Selection intensity curves'!$H$100</c:f>
              <c:strCache>
                <c:ptCount val="1"/>
                <c:pt idx="0">
                  <c:v>Infinite PopSize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'Selection intensity curves'!$F$101:$F$199</c:f>
              <c:numCache>
                <c:formatCode>General</c:formatCode>
                <c:ptCount val="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</c:numCache>
            </c:numRef>
          </c:xVal>
          <c:yVal>
            <c:numRef>
              <c:f>'Selection intensity curves'!$H$101:$H$199</c:f>
              <c:numCache>
                <c:formatCode>General</c:formatCode>
                <c:ptCount val="99"/>
                <c:pt idx="0">
                  <c:v>2.665214220345808</c:v>
                </c:pt>
                <c:pt idx="1">
                  <c:v>2.4209067940371036</c:v>
                </c:pt>
                <c:pt idx="2">
                  <c:v>2.2680650472147379</c:v>
                </c:pt>
                <c:pt idx="3">
                  <c:v>2.1543443506495339</c:v>
                </c:pt>
                <c:pt idx="4">
                  <c:v>2.0627128075074261</c:v>
                </c:pt>
                <c:pt idx="5">
                  <c:v>1.9853827532110002</c:v>
                </c:pt>
                <c:pt idx="6">
                  <c:v>1.9181130652891667</c:v>
                </c:pt>
                <c:pt idx="7">
                  <c:v>1.8583278282706328</c:v>
                </c:pt>
                <c:pt idx="8">
                  <c:v>1.8043403091117498</c:v>
                </c:pt>
                <c:pt idx="9">
                  <c:v>1.7549833193248678</c:v>
                </c:pt>
                <c:pt idx="10">
                  <c:v>1.7094142455408337</c:v>
                </c:pt>
                <c:pt idx="11">
                  <c:v>1.6670040315808303</c:v>
                </c:pt>
                <c:pt idx="12">
                  <c:v>1.6272700707275809</c:v>
                </c:pt>
                <c:pt idx="13">
                  <c:v>1.58983364361114</c:v>
                </c:pt>
                <c:pt idx="14">
                  <c:v>1.5543918350245483</c:v>
                </c:pt>
                <c:pt idx="15">
                  <c:v>1.5206983799084479</c:v>
                </c:pt>
                <c:pt idx="16">
                  <c:v>1.4885502259598411</c:v>
                </c:pt>
                <c:pt idx="17">
                  <c:v>1.4577778749922989</c:v>
                </c:pt>
                <c:pt idx="18">
                  <c:v>1.4282382920574592</c:v>
                </c:pt>
                <c:pt idx="19">
                  <c:v>1.3998096020390411</c:v>
                </c:pt>
                <c:pt idx="20">
                  <c:v>1.3723870572813548</c:v>
                </c:pt>
                <c:pt idx="21">
                  <c:v>1.3458799262504508</c:v>
                </c:pt>
                <c:pt idx="22">
                  <c:v>1.3202090609680401</c:v>
                </c:pt>
                <c:pt idx="23">
                  <c:v>1.2953049723348571</c:v>
                </c:pt>
                <c:pt idx="24">
                  <c:v>1.2711062907364277</c:v>
                </c:pt>
                <c:pt idx="25">
                  <c:v>1.2475585225935539</c:v>
                </c:pt>
                <c:pt idx="26">
                  <c:v>1.224613036840148</c:v>
                </c:pt>
                <c:pt idx="27">
                  <c:v>1.2022262319129329</c:v>
                </c:pt>
                <c:pt idx="28">
                  <c:v>1.1803588458252467</c:v>
                </c:pt>
                <c:pt idx="29">
                  <c:v>1.1589753806669127</c:v>
                </c:pt>
                <c:pt idx="30">
                  <c:v>1.1380436193652121</c:v>
                </c:pt>
                <c:pt idx="31">
                  <c:v>1.1175342174033343</c:v>
                </c:pt>
                <c:pt idx="32">
                  <c:v>1.0974203558700348</c:v>
                </c:pt>
                <c:pt idx="33">
                  <c:v>1.0776774450228859</c:v>
                </c:pt>
                <c:pt idx="34">
                  <c:v>1.0582828697119018</c:v>
                </c:pt>
                <c:pt idx="35">
                  <c:v>1.0392157696923163</c:v>
                </c:pt>
                <c:pt idx="36">
                  <c:v>1.0204568491726616</c:v>
                </c:pt>
                <c:pt idx="37">
                  <c:v>1.0019882109836886</c:v>
                </c:pt>
                <c:pt idx="38">
                  <c:v>0.98379321157944966</c:v>
                </c:pt>
                <c:pt idx="39">
                  <c:v>0.9658563337421513</c:v>
                </c:pt>
                <c:pt idx="40">
                  <c:v>0.94816307439362357</c:v>
                </c:pt>
                <c:pt idx="41">
                  <c:v>0.93069984534607997</c:v>
                </c:pt>
                <c:pt idx="42">
                  <c:v>0.91345388517449777</c:v>
                </c:pt>
                <c:pt idx="43">
                  <c:v>0.89641318067883935</c:v>
                </c:pt>
                <c:pt idx="44">
                  <c:v>0.87956639663914826</c:v>
                </c:pt>
                <c:pt idx="45">
                  <c:v>0.86290281276028913</c:v>
                </c:pt>
                <c:pt idx="46">
                  <c:v>0.84641226686353743</c:v>
                </c:pt>
                <c:pt idx="47">
                  <c:v>0.83008510351558962</c:v>
                </c:pt>
                <c:pt idx="48">
                  <c:v>0.81391212739673757</c:v>
                </c:pt>
                <c:pt idx="49">
                  <c:v>0.79788456080286541</c:v>
                </c:pt>
                <c:pt idx="50">
                  <c:v>0.78199400475372827</c:v>
                </c:pt>
                <c:pt idx="51">
                  <c:v>0.76623240324515962</c:v>
                </c:pt>
                <c:pt idx="52">
                  <c:v>0.75059201023747646</c:v>
                </c:pt>
                <c:pt idx="53">
                  <c:v>0.73506535901802406</c:v>
                </c:pt>
                <c:pt idx="54">
                  <c:v>0.71964523361384858</c:v>
                </c:pt>
                <c:pt idx="55">
                  <c:v>0.70432464196194522</c:v>
                </c:pt>
                <c:pt idx="56">
                  <c:v>0.68909679057023521</c:v>
                </c:pt>
                <c:pt idx="57">
                  <c:v>0.67395506042302344</c:v>
                </c:pt>
                <c:pt idx="58">
                  <c:v>0.65889298390065376</c:v>
                </c:pt>
                <c:pt idx="59">
                  <c:v>0.64390422249476764</c:v>
                </c:pt>
                <c:pt idx="60">
                  <c:v>0.62898254510817275</c:v>
                </c:pt>
                <c:pt idx="61">
                  <c:v>0.61412180673193828</c:v>
                </c:pt>
                <c:pt idx="62">
                  <c:v>0.59931592729188055</c:v>
                </c:pt>
                <c:pt idx="63">
                  <c:v>0.58455887045192789</c:v>
                </c:pt>
                <c:pt idx="64">
                  <c:v>0.56984462215256237</c:v>
                </c:pt>
                <c:pt idx="65">
                  <c:v>0.55516716864815341</c:v>
                </c:pt>
                <c:pt idx="66">
                  <c:v>0.54052047378673351</c:v>
                </c:pt>
                <c:pt idx="67">
                  <c:v>0.52589845524862788</c:v>
                </c:pt>
                <c:pt idx="68">
                  <c:v>0.5112949594249504</c:v>
                </c:pt>
                <c:pt idx="69">
                  <c:v>0.49670373457153405</c:v>
                </c:pt>
                <c:pt idx="70">
                  <c:v>0.48211840181594595</c:v>
                </c:pt>
                <c:pt idx="71">
                  <c:v>0.46753242352169616</c:v>
                </c:pt>
                <c:pt idx="72">
                  <c:v>0.45293906842032877</c:v>
                </c:pt>
                <c:pt idx="73">
                  <c:v>0.43833137280314061</c:v>
                </c:pt>
                <c:pt idx="74">
                  <c:v>0.42370209691214256</c:v>
                </c:pt>
                <c:pt idx="75">
                  <c:v>0.40904367547416537</c:v>
                </c:pt>
                <c:pt idx="76">
                  <c:v>0.39434816106837567</c:v>
                </c:pt>
                <c:pt idx="77">
                  <c:v>0.37960715868602463</c:v>
                </c:pt>
                <c:pt idx="78">
                  <c:v>0.36481174940390443</c:v>
                </c:pt>
                <c:pt idx="79">
                  <c:v>0.34995240050976023</c:v>
                </c:pt>
                <c:pt idx="80">
                  <c:v>0.33501885863076203</c:v>
                </c:pt>
                <c:pt idx="81">
                  <c:v>0.32000002133977368</c:v>
                </c:pt>
                <c:pt idx="82">
                  <c:v>0.30488378122069038</c:v>
                </c:pt>
                <c:pt idx="83">
                  <c:v>0.28965683426827582</c:v>
                </c:pt>
                <c:pt idx="84">
                  <c:v>0.27430444147492028</c:v>
                </c:pt>
                <c:pt idx="85">
                  <c:v>0.25881012802972048</c:v>
                </c:pt>
                <c:pt idx="86">
                  <c:v>0.24315529792481094</c:v>
                </c:pt>
                <c:pt idx="87">
                  <c:v>0.22731873157920413</c:v>
                </c:pt>
                <c:pt idx="88">
                  <c:v>0.21127591798819292</c:v>
                </c:pt>
                <c:pt idx="89">
                  <c:v>0.19499814659165199</c:v>
                </c:pt>
                <c:pt idx="90">
                  <c:v>0.17845123936270052</c:v>
                </c:pt>
                <c:pt idx="91">
                  <c:v>0.16159372419744689</c:v>
                </c:pt>
                <c:pt idx="92">
                  <c:v>0.14437410168843165</c:v>
                </c:pt>
                <c:pt idx="93">
                  <c:v>0.12672655871559577</c:v>
                </c:pt>
                <c:pt idx="94">
                  <c:v>0.10856383197407529</c:v>
                </c:pt>
                <c:pt idx="95">
                  <c:v>8.9764347943730588E-2</c:v>
                </c:pt>
                <c:pt idx="96">
                  <c:v>7.0146341666435269E-2</c:v>
                </c:pt>
                <c:pt idx="97">
                  <c:v>4.9406261102798082E-2</c:v>
                </c:pt>
                <c:pt idx="98">
                  <c:v>2.6921355761068768E-2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'Selection intensity curves'!$I$100</c:f>
              <c:strCache>
                <c:ptCount val="1"/>
                <c:pt idx="0">
                  <c:v>PopSize =50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'Selection intensity curves'!$F$101:$F$199</c:f>
              <c:numCache>
                <c:formatCode>General</c:formatCode>
                <c:ptCount val="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</c:numCache>
            </c:numRef>
          </c:xVal>
          <c:yVal>
            <c:numRef>
              <c:f>'Selection intensity curves'!$I$101:$I$199</c:f>
              <c:numCache>
                <c:formatCode>General</c:formatCode>
                <c:ptCount val="99"/>
                <c:pt idx="0">
                  <c:v>2.301045281172061</c:v>
                </c:pt>
                <c:pt idx="1">
                  <c:v>2.2224719934714678</c:v>
                </c:pt>
                <c:pt idx="2">
                  <c:v>2.1283012144086344</c:v>
                </c:pt>
                <c:pt idx="3">
                  <c:v>2.0451259160125095</c:v>
                </c:pt>
                <c:pt idx="4">
                  <c:v>1.9724072113401077</c:v>
                </c:pt>
                <c:pt idx="5">
                  <c:v>1.9080199520113736</c:v>
                </c:pt>
                <c:pt idx="6">
                  <c:v>1.8502066925119707</c:v>
                </c:pt>
                <c:pt idx="7">
                  <c:v>1.7976576406298781</c:v>
                </c:pt>
                <c:pt idx="8">
                  <c:v>1.7494013711495366</c:v>
                </c:pt>
                <c:pt idx="9">
                  <c:v>1.7047063205944237</c:v>
                </c:pt>
                <c:pt idx="10">
                  <c:v>1.6630108425312424</c:v>
                </c:pt>
                <c:pt idx="11">
                  <c:v>1.6238755067095243</c:v>
                </c:pt>
                <c:pt idx="12">
                  <c:v>1.5869504821671085</c:v>
                </c:pt>
                <c:pt idx="13">
                  <c:v>1.5519528943403789</c:v>
                </c:pt>
                <c:pt idx="14">
                  <c:v>1.5186508112339296</c:v>
                </c:pt>
                <c:pt idx="15">
                  <c:v>1.4868517020166803</c:v>
                </c:pt>
                <c:pt idx="16">
                  <c:v>1.4563939678296951</c:v>
                </c:pt>
                <c:pt idx="17">
                  <c:v>1.4271406221334382</c:v>
                </c:pt>
                <c:pt idx="18">
                  <c:v>1.3989745019272661</c:v>
                </c:pt>
                <c:pt idx="19">
                  <c:v>1.3717945875560815</c:v>
                </c:pt>
                <c:pt idx="20">
                  <c:v>1.3455131378293446</c:v>
                </c:pt>
                <c:pt idx="21">
                  <c:v>1.3200534334030483</c:v>
                </c:pt>
                <c:pt idx="22">
                  <c:v>1.2953479799829875</c:v>
                </c:pt>
                <c:pt idx="23">
                  <c:v>1.2713370633890393</c:v>
                </c:pt>
                <c:pt idx="24">
                  <c:v>1.2479675769087726</c:v>
                </c:pt>
                <c:pt idx="25">
                  <c:v>1.2251920615621861</c:v>
                </c:pt>
                <c:pt idx="26">
                  <c:v>1.2029679144557628</c:v>
                </c:pt>
                <c:pt idx="27">
                  <c:v>1.1812567310283113</c:v>
                </c:pt>
                <c:pt idx="28">
                  <c:v>1.1600237548357719</c:v>
                </c:pt>
                <c:pt idx="29">
                  <c:v>1.1392374143778441</c:v>
                </c:pt>
                <c:pt idx="30">
                  <c:v>1.118868930884704</c:v>
                </c:pt>
                <c:pt idx="31">
                  <c:v>1.098891984343356</c:v>
                </c:pt>
                <c:pt idx="32">
                  <c:v>1.0792824276247939</c:v>
                </c:pt>
                <c:pt idx="33">
                  <c:v>1.0600180405726907</c:v>
                </c:pt>
                <c:pt idx="34">
                  <c:v>1.0410783174751999</c:v>
                </c:pt>
                <c:pt idx="35">
                  <c:v>1.0224442825689612</c:v>
                </c:pt>
                <c:pt idx="36">
                  <c:v>1.0040983291965142</c:v>
                </c:pt>
                <c:pt idx="37">
                  <c:v>0.98602407901319367</c:v>
                </c:pt>
                <c:pt idx="38">
                  <c:v>0.96820625826114837</c:v>
                </c:pt>
                <c:pt idx="39">
                  <c:v>0.95063058862955874</c:v>
                </c:pt>
                <c:pt idx="40">
                  <c:v>0.9332836906269486</c:v>
                </c:pt>
                <c:pt idx="41">
                  <c:v>0.91615299772322245</c:v>
                </c:pt>
                <c:pt idx="42">
                  <c:v>0.89922667979089033</c:v>
                </c:pt>
                <c:pt idx="43">
                  <c:v>0.88249357459872557</c:v>
                </c:pt>
                <c:pt idx="44">
                  <c:v>0.8659431262960724</c:v>
                </c:pt>
                <c:pt idx="45">
                  <c:v>0.84956532997954082</c:v>
                </c:pt>
                <c:pt idx="46">
                  <c:v>0.83335068156165604</c:v>
                </c:pt>
                <c:pt idx="47">
                  <c:v>0.81729013226782499</c:v>
                </c:pt>
                <c:pt idx="48">
                  <c:v>0.80137504717741415</c:v>
                </c:pt>
                <c:pt idx="49">
                  <c:v>0.78559716729977225</c:v>
                </c:pt>
                <c:pt idx="50">
                  <c:v>0.76994857473908418</c:v>
                </c:pt>
                <c:pt idx="51">
                  <c:v>0.75442166055491533</c:v>
                </c:pt>
                <c:pt idx="52">
                  <c:v>0.7390090949697703</c:v>
                </c:pt>
                <c:pt idx="53">
                  <c:v>0.72370379961220144</c:v>
                </c:pt>
                <c:pt idx="54">
                  <c:v>0.70849892151496829</c:v>
                </c:pt>
                <c:pt idx="55">
                  <c:v>0.69338780861328442</c:v>
                </c:pt>
                <c:pt idx="56">
                  <c:v>0.67836398650891727</c:v>
                </c:pt>
                <c:pt idx="57">
                  <c:v>0.66342113628233357</c:v>
                </c:pt>
                <c:pt idx="58">
                  <c:v>0.64855307314754063</c:v>
                </c:pt>
                <c:pt idx="59">
                  <c:v>0.63375372575303923</c:v>
                </c:pt>
                <c:pt idx="60">
                  <c:v>0.61901711593745556</c:v>
                </c:pt>
                <c:pt idx="61">
                  <c:v>0.60433733875002205</c:v>
                </c:pt>
                <c:pt idx="62">
                  <c:v>0.58970854254398453</c:v>
                </c:pt>
                <c:pt idx="63">
                  <c:v>0.57512490894504076</c:v>
                </c:pt>
                <c:pt idx="64">
                  <c:v>0.56058063248664591</c:v>
                </c:pt>
                <c:pt idx="65">
                  <c:v>0.54606989968896191</c:v>
                </c:pt>
                <c:pt idx="66">
                  <c:v>0.53158686733758498</c:v>
                </c:pt>
                <c:pt idx="67">
                  <c:v>0.51712563969099112</c:v>
                </c:pt>
                <c:pt idx="68">
                  <c:v>0.50268024431051928</c:v>
                </c:pt>
                <c:pt idx="69">
                  <c:v>0.48824460616193321</c:v>
                </c:pt>
                <c:pt idx="70">
                  <c:v>0.47381251958080833</c:v>
                </c:pt>
                <c:pt idx="71">
                  <c:v>0.45937761762212115</c:v>
                </c:pt>
                <c:pt idx="72">
                  <c:v>0.44493333822336439</c:v>
                </c:pt>
                <c:pt idx="73">
                  <c:v>0.43047288649482213</c:v>
                </c:pt>
                <c:pt idx="74">
                  <c:v>0.41598919230292419</c:v>
                </c:pt>
                <c:pt idx="75">
                  <c:v>0.40147486212285449</c:v>
                </c:pt>
                <c:pt idx="76">
                  <c:v>0.38692212389102232</c:v>
                </c:pt>
                <c:pt idx="77">
                  <c:v>0.37232276326752645</c:v>
                </c:pt>
                <c:pt idx="78">
                  <c:v>0.35766804929640805</c:v>
                </c:pt>
                <c:pt idx="79">
                  <c:v>0.34294864688902033</c:v>
                </c:pt>
                <c:pt idx="80">
                  <c:v>0.32815451279775376</c:v>
                </c:pt>
                <c:pt idx="81">
                  <c:v>0.31327477071221888</c:v>
                </c:pt>
                <c:pt idx="82">
                  <c:v>0.29829755967596172</c:v>
                </c:pt>
                <c:pt idx="83">
                  <c:v>0.28320984800317722</c:v>
                </c:pt>
                <c:pt idx="84">
                  <c:v>0.26799720198245819</c:v>
                </c:pt>
                <c:pt idx="85">
                  <c:v>0.25264349442750356</c:v>
                </c:pt>
                <c:pt idx="86">
                  <c:v>0.2371305318180737</c:v>
                </c:pt>
                <c:pt idx="87">
                  <c:v>0.2214375690967533</c:v>
                </c:pt>
                <c:pt idx="88">
                  <c:v>0.20554066593082773</c:v>
                </c:pt>
                <c:pt idx="89">
                  <c:v>0.1894118133993804</c:v>
                </c:pt>
                <c:pt idx="90">
                  <c:v>0.17301771802577834</c:v>
                </c:pt>
                <c:pt idx="91">
                  <c:v>0.15631805570694648</c:v>
                </c:pt>
                <c:pt idx="92">
                  <c:v>0.13926286932885776</c:v>
                </c:pt>
                <c:pt idx="93">
                  <c:v>0.12178850757519406</c:v>
                </c:pt>
                <c:pt idx="94">
                  <c:v>0.10381090586000591</c:v>
                </c:pt>
                <c:pt idx="95">
                  <c:v>8.521357983385458E-2</c:v>
                </c:pt>
                <c:pt idx="96">
                  <c:v>6.5823748899236201E-2</c:v>
                </c:pt>
                <c:pt idx="97">
                  <c:v>4.5356571295336136E-2</c:v>
                </c:pt>
                <c:pt idx="98">
                  <c:v>2.3242881628000617E-2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561472"/>
        <c:axId val="187563392"/>
      </c:scatterChart>
      <c:valAx>
        <c:axId val="187561472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percentage selected</a:t>
                </a:r>
              </a:p>
            </c:rich>
          </c:tx>
          <c:layout>
            <c:manualLayout>
              <c:xMode val="edge"/>
              <c:yMode val="edge"/>
              <c:x val="0.10693784646213829"/>
              <c:y val="0.5407173082956466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87563392"/>
        <c:crosses val="autoZero"/>
        <c:crossBetween val="midCat"/>
      </c:valAx>
      <c:valAx>
        <c:axId val="187563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7561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2442448519822777"/>
          <c:y val="0.39635645520173912"/>
          <c:w val="0.25247595953377872"/>
          <c:h val="0.2027340489250275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'Selection intensity curves'!$K$101:$K$150</c:f>
              <c:numCache>
                <c:formatCode>General</c:formatCode>
                <c:ptCount val="50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  <c:pt idx="23">
                  <c:v>96</c:v>
                </c:pt>
                <c:pt idx="24">
                  <c:v>100</c:v>
                </c:pt>
                <c:pt idx="25">
                  <c:v>104</c:v>
                </c:pt>
                <c:pt idx="26">
                  <c:v>108</c:v>
                </c:pt>
                <c:pt idx="27">
                  <c:v>112</c:v>
                </c:pt>
                <c:pt idx="28">
                  <c:v>116</c:v>
                </c:pt>
                <c:pt idx="29">
                  <c:v>120</c:v>
                </c:pt>
                <c:pt idx="30">
                  <c:v>124</c:v>
                </c:pt>
                <c:pt idx="31">
                  <c:v>128</c:v>
                </c:pt>
                <c:pt idx="32">
                  <c:v>132</c:v>
                </c:pt>
                <c:pt idx="33">
                  <c:v>136</c:v>
                </c:pt>
                <c:pt idx="34">
                  <c:v>140</c:v>
                </c:pt>
                <c:pt idx="35">
                  <c:v>144</c:v>
                </c:pt>
                <c:pt idx="36">
                  <c:v>148</c:v>
                </c:pt>
                <c:pt idx="37">
                  <c:v>152</c:v>
                </c:pt>
                <c:pt idx="38">
                  <c:v>156</c:v>
                </c:pt>
                <c:pt idx="39">
                  <c:v>160</c:v>
                </c:pt>
                <c:pt idx="40">
                  <c:v>164</c:v>
                </c:pt>
                <c:pt idx="41">
                  <c:v>168</c:v>
                </c:pt>
                <c:pt idx="42">
                  <c:v>172</c:v>
                </c:pt>
                <c:pt idx="43">
                  <c:v>176</c:v>
                </c:pt>
                <c:pt idx="44">
                  <c:v>180</c:v>
                </c:pt>
                <c:pt idx="45">
                  <c:v>184</c:v>
                </c:pt>
                <c:pt idx="46">
                  <c:v>188</c:v>
                </c:pt>
                <c:pt idx="47">
                  <c:v>192</c:v>
                </c:pt>
                <c:pt idx="48">
                  <c:v>196</c:v>
                </c:pt>
                <c:pt idx="49">
                  <c:v>200</c:v>
                </c:pt>
              </c:numCache>
            </c:numRef>
          </c:xVal>
          <c:yVal>
            <c:numRef>
              <c:f>'Selection intensity curves'!$L$101:$L$150</c:f>
              <c:numCache>
                <c:formatCode>General</c:formatCode>
                <c:ptCount val="50"/>
                <c:pt idx="0">
                  <c:v>1.1415957266007766</c:v>
                </c:pt>
                <c:pt idx="1">
                  <c:v>1.5509810958926211</c:v>
                </c:pt>
                <c:pt idx="2">
                  <c:v>1.7084370071587149</c:v>
                </c:pt>
                <c:pt idx="3">
                  <c:v>1.7917960190054705</c:v>
                </c:pt>
                <c:pt idx="4">
                  <c:v>1.8433992168153668</c:v>
                </c:pt>
                <c:pt idx="5">
                  <c:v>1.8784893913260963</c:v>
                </c:pt>
                <c:pt idx="6">
                  <c:v>1.9038995176959348</c:v>
                </c:pt>
                <c:pt idx="7">
                  <c:v>1.9231496134306612</c:v>
                </c:pt>
                <c:pt idx="8">
                  <c:v>1.938237526303825</c:v>
                </c:pt>
                <c:pt idx="9">
                  <c:v>1.9503814561773469</c:v>
                </c:pt>
                <c:pt idx="10">
                  <c:v>1.960366465184465</c:v>
                </c:pt>
                <c:pt idx="11">
                  <c:v>1.9687212686394007</c:v>
                </c:pt>
                <c:pt idx="12">
                  <c:v>1.9758149696860441</c:v>
                </c:pt>
                <c:pt idx="13">
                  <c:v>1.9819130635682463</c:v>
                </c:pt>
                <c:pt idx="14">
                  <c:v>1.9872114074331106</c:v>
                </c:pt>
                <c:pt idx="15">
                  <c:v>1.9918576474376839</c:v>
                </c:pt>
                <c:pt idx="16">
                  <c:v>1.9959651929489732</c:v>
                </c:pt>
                <c:pt idx="17">
                  <c:v>1.9996225964864227</c:v>
                </c:pt>
                <c:pt idx="18">
                  <c:v>2.0029000100459555</c:v>
                </c:pt>
                <c:pt idx="19">
                  <c:v>2.0058537284391145</c:v>
                </c:pt>
                <c:pt idx="20">
                  <c:v>2.008529449807035</c:v>
                </c:pt>
                <c:pt idx="21">
                  <c:v>2.0109646568946928</c:v>
                </c:pt>
                <c:pt idx="22">
                  <c:v>2.0131903838027676</c:v>
                </c:pt>
                <c:pt idx="23">
                  <c:v>2.0152325456050217</c:v>
                </c:pt>
                <c:pt idx="24">
                  <c:v>2.0171129520169981</c:v>
                </c:pt>
                <c:pt idx="25">
                  <c:v>2.0188500893690144</c:v>
                </c:pt>
                <c:pt idx="26">
                  <c:v>2.0204597304016163</c:v>
                </c:pt>
                <c:pt idx="27">
                  <c:v>2.0219554145469547</c:v>
                </c:pt>
                <c:pt idx="28">
                  <c:v>2.0233488296909026</c:v>
                </c:pt>
                <c:pt idx="29">
                  <c:v>2.0246501182137631</c:v>
                </c:pt>
                <c:pt idx="30">
                  <c:v>2.02586812427116</c:v>
                </c:pt>
                <c:pt idx="31">
                  <c:v>2.0270105950691839</c:v>
                </c:pt>
                <c:pt idx="32">
                  <c:v>2.0280843458192064</c:v>
                </c:pt>
                <c:pt idx="33">
                  <c:v>2.0290953957955047</c:v>
                </c:pt>
                <c:pt idx="34">
                  <c:v>2.0300490812341407</c:v>
                </c:pt>
                <c:pt idx="35">
                  <c:v>2.0309501495451281</c:v>
                </c:pt>
                <c:pt idx="36">
                  <c:v>2.0318028383494848</c:v>
                </c:pt>
                <c:pt idx="37">
                  <c:v>2.0326109421183198</c:v>
                </c:pt>
                <c:pt idx="38">
                  <c:v>2.033377868625049</c:v>
                </c:pt>
                <c:pt idx="39">
                  <c:v>2.034106686982375</c:v>
                </c:pt>
                <c:pt idx="40">
                  <c:v>2.0348001686920729</c:v>
                </c:pt>
                <c:pt idx="41">
                  <c:v>2.0354608228652178</c:v>
                </c:pt>
                <c:pt idx="42">
                  <c:v>2.0360909265563669</c:v>
                </c:pt>
                <c:pt idx="43">
                  <c:v>2.0366925509846396</c:v>
                </c:pt>
                <c:pt idx="44">
                  <c:v>2.0372675842779606</c:v>
                </c:pt>
                <c:pt idx="45">
                  <c:v>2.0378177512667057</c:v>
                </c:pt>
                <c:pt idx="46">
                  <c:v>2.0383446307638642</c:v>
                </c:pt>
                <c:pt idx="47">
                  <c:v>2.038849670696373</c:v>
                </c:pt>
                <c:pt idx="48">
                  <c:v>2.0393342013930442</c:v>
                </c:pt>
                <c:pt idx="49">
                  <c:v>2.0397994472858678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853824"/>
        <c:axId val="187860096"/>
      </c:scatterChart>
      <c:valAx>
        <c:axId val="187853824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Population Size</a:t>
                </a:r>
              </a:p>
            </c:rich>
          </c:tx>
          <c:layout>
            <c:manualLayout>
              <c:xMode val="edge"/>
              <c:yMode val="edge"/>
              <c:x val="0.44598731408573927"/>
              <c:y val="0.7073841976649469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87860096"/>
        <c:crosses val="autoZero"/>
        <c:crossBetween val="midCat"/>
      </c:valAx>
      <c:valAx>
        <c:axId val="1878600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selection intensity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87853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212481</xdr:colOff>
      <xdr:row>8</xdr:row>
      <xdr:rowOff>193431</xdr:rowOff>
    </xdr:from>
    <xdr:to>
      <xdr:col>5</xdr:col>
      <xdr:colOff>507756</xdr:colOff>
      <xdr:row>8</xdr:row>
      <xdr:rowOff>193431</xdr:rowOff>
    </xdr:to>
    <xdr:cxnSp macro="">
      <xdr:nvCxnSpPr>
        <xdr:cNvPr id="3" name="Straight Arrow Connector 2"/>
        <xdr:cNvCxnSpPr/>
      </xdr:nvCxnSpPr>
      <xdr:spPr>
        <a:xfrm>
          <a:off x="4938346" y="1878623"/>
          <a:ext cx="1057275" cy="0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0</xdr:row>
      <xdr:rowOff>160020</xdr:rowOff>
    </xdr:from>
    <xdr:to>
      <xdr:col>17</xdr:col>
      <xdr:colOff>426720</xdr:colOff>
      <xdr:row>15</xdr:row>
      <xdr:rowOff>91440</xdr:rowOff>
    </xdr:to>
    <xdr:graphicFrame macro="">
      <xdr:nvGraphicFramePr>
        <xdr:cNvPr id="1066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212481</xdr:colOff>
      <xdr:row>8</xdr:row>
      <xdr:rowOff>193431</xdr:rowOff>
    </xdr:from>
    <xdr:to>
      <xdr:col>5</xdr:col>
      <xdr:colOff>507756</xdr:colOff>
      <xdr:row>8</xdr:row>
      <xdr:rowOff>193431</xdr:rowOff>
    </xdr:to>
    <xdr:cxnSp macro="">
      <xdr:nvCxnSpPr>
        <xdr:cNvPr id="2" name="Straight Arrow Connector 1"/>
        <xdr:cNvCxnSpPr/>
      </xdr:nvCxnSpPr>
      <xdr:spPr>
        <a:xfrm>
          <a:off x="4622556" y="1946031"/>
          <a:ext cx="781050" cy="0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0</xdr:row>
      <xdr:rowOff>160020</xdr:rowOff>
    </xdr:from>
    <xdr:to>
      <xdr:col>17</xdr:col>
      <xdr:colOff>426720</xdr:colOff>
      <xdr:row>15</xdr:row>
      <xdr:rowOff>91440</xdr:rowOff>
    </xdr:to>
    <xdr:graphicFrame macro="">
      <xdr:nvGraphicFramePr>
        <xdr:cNvPr id="11320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15</xdr:row>
      <xdr:rowOff>213360</xdr:rowOff>
    </xdr:from>
    <xdr:to>
      <xdr:col>17</xdr:col>
      <xdr:colOff>175260</xdr:colOff>
      <xdr:row>35</xdr:row>
      <xdr:rowOff>45720</xdr:rowOff>
    </xdr:to>
    <xdr:graphicFrame macro="">
      <xdr:nvGraphicFramePr>
        <xdr:cNvPr id="11321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220100</xdr:colOff>
      <xdr:row>16</xdr:row>
      <xdr:rowOff>7328</xdr:rowOff>
    </xdr:from>
    <xdr:to>
      <xdr:col>9</xdr:col>
      <xdr:colOff>821391</xdr:colOff>
      <xdr:row>19</xdr:row>
      <xdr:rowOff>14654</xdr:rowOff>
    </xdr:to>
    <xdr:sp macro="[0]!curve" textlink="">
      <xdr:nvSpPr>
        <xdr:cNvPr id="8" name="TextBox 7"/>
        <xdr:cNvSpPr txBox="1"/>
      </xdr:nvSpPr>
      <xdr:spPr>
        <a:xfrm>
          <a:off x="6821365" y="3597520"/>
          <a:ext cx="1194289" cy="622788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 extrusionH="76200" prstMaterial="matte">
          <a:bevelT/>
          <a:extrusionClr>
            <a:schemeClr val="accent6">
              <a:lumMod val="60000"/>
              <a:lumOff val="40000"/>
            </a:schemeClr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redraw graph for given</a:t>
          </a:r>
          <a:r>
            <a:rPr lang="en-US" sz="1100" baseline="0"/>
            <a:t> </a:t>
          </a:r>
          <a:r>
            <a:rPr lang="en-US" sz="1100"/>
            <a:t>PopSize</a:t>
          </a:r>
        </a:p>
        <a:p>
          <a:r>
            <a:rPr lang="en-US" sz="1100"/>
            <a:t>varying p</a:t>
          </a:r>
        </a:p>
      </xdr:txBody>
    </xdr:sp>
    <xdr:clientData/>
  </xdr:twoCellAnchor>
  <xdr:twoCellAnchor>
    <xdr:from>
      <xdr:col>1</xdr:col>
      <xdr:colOff>1226820</xdr:colOff>
      <xdr:row>16</xdr:row>
      <xdr:rowOff>205740</xdr:rowOff>
    </xdr:from>
    <xdr:to>
      <xdr:col>7</xdr:col>
      <xdr:colOff>365760</xdr:colOff>
      <xdr:row>33</xdr:row>
      <xdr:rowOff>91440</xdr:rowOff>
    </xdr:to>
    <xdr:graphicFrame macro="">
      <xdr:nvGraphicFramePr>
        <xdr:cNvPr id="11323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564173</xdr:colOff>
      <xdr:row>16</xdr:row>
      <xdr:rowOff>218344</xdr:rowOff>
    </xdr:from>
    <xdr:to>
      <xdr:col>1</xdr:col>
      <xdr:colOff>1166153</xdr:colOff>
      <xdr:row>20</xdr:row>
      <xdr:rowOff>95540</xdr:rowOff>
    </xdr:to>
    <xdr:sp macro="[0]!curve2" textlink="">
      <xdr:nvSpPr>
        <xdr:cNvPr id="11" name="TextBox 10"/>
        <xdr:cNvSpPr txBox="1"/>
      </xdr:nvSpPr>
      <xdr:spPr>
        <a:xfrm>
          <a:off x="564173" y="3808536"/>
          <a:ext cx="1179635" cy="646233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 prstMaterial="matte"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redraw graph</a:t>
          </a:r>
        </a:p>
        <a:p>
          <a:r>
            <a:rPr lang="en-US" sz="1100"/>
            <a:t>for given p</a:t>
          </a:r>
        </a:p>
        <a:p>
          <a:r>
            <a:rPr lang="en-US" sz="1100"/>
            <a:t>varying PopSize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212481</xdr:colOff>
      <xdr:row>9</xdr:row>
      <xdr:rowOff>193431</xdr:rowOff>
    </xdr:from>
    <xdr:to>
      <xdr:col>5</xdr:col>
      <xdr:colOff>507756</xdr:colOff>
      <xdr:row>9</xdr:row>
      <xdr:rowOff>193431</xdr:rowOff>
    </xdr:to>
    <xdr:cxnSp macro="">
      <xdr:nvCxnSpPr>
        <xdr:cNvPr id="2" name="Straight Arrow Connector 1"/>
        <xdr:cNvCxnSpPr/>
      </xdr:nvCxnSpPr>
      <xdr:spPr>
        <a:xfrm>
          <a:off x="4622556" y="1946031"/>
          <a:ext cx="781050" cy="0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138478</xdr:colOff>
      <xdr:row>12</xdr:row>
      <xdr:rowOff>158261</xdr:rowOff>
    </xdr:from>
    <xdr:to>
      <xdr:col>5</xdr:col>
      <xdr:colOff>382374</xdr:colOff>
      <xdr:row>12</xdr:row>
      <xdr:rowOff>158261</xdr:rowOff>
    </xdr:to>
    <xdr:cxnSp macro="">
      <xdr:nvCxnSpPr>
        <xdr:cNvPr id="4" name="Straight Arrow Connector 3"/>
        <xdr:cNvCxnSpPr/>
      </xdr:nvCxnSpPr>
      <xdr:spPr>
        <a:xfrm>
          <a:off x="4541959" y="2839915"/>
          <a:ext cx="778119" cy="0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J171"/>
  <sheetViews>
    <sheetView zoomScaleNormal="100" workbookViewId="0">
      <selection activeCell="J9" sqref="J9"/>
    </sheetView>
  </sheetViews>
  <sheetFormatPr defaultRowHeight="13.2" x14ac:dyDescent="0.25"/>
  <cols>
    <col min="2" max="2" width="32.5546875" customWidth="1"/>
    <col min="3" max="3" width="7.6640625" customWidth="1"/>
    <col min="4" max="4" width="16.6640625" customWidth="1"/>
    <col min="5" max="5" width="8.33203125" customWidth="1"/>
    <col min="6" max="6" width="6.5546875" customWidth="1"/>
    <col min="11" max="11" width="11.44140625" bestFit="1" customWidth="1"/>
  </cols>
  <sheetData>
    <row r="1" spans="1:3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</row>
    <row r="2" spans="1:35" ht="17.399999999999999" x14ac:dyDescent="0.3">
      <c r="A2" s="1"/>
      <c r="B2" s="1"/>
      <c r="C2" s="1"/>
      <c r="D2" s="1"/>
      <c r="E2" s="2"/>
      <c r="F2" s="2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</row>
    <row r="3" spans="1:35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</row>
    <row r="4" spans="1:35" ht="20.399999999999999" x14ac:dyDescent="0.35">
      <c r="A4" s="1"/>
      <c r="B4" s="2" t="s">
        <v>21</v>
      </c>
      <c r="C4" s="2" t="s">
        <v>17</v>
      </c>
      <c r="D4" s="10">
        <v>0.1</v>
      </c>
      <c r="E4" s="2"/>
      <c r="F4" s="2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</row>
    <row r="5" spans="1:35" ht="17.399999999999999" x14ac:dyDescent="0.3">
      <c r="A5" s="1"/>
      <c r="B5" s="1"/>
      <c r="C5" s="1"/>
      <c r="D5" s="11"/>
      <c r="E5" s="1"/>
      <c r="F5" s="2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</row>
    <row r="6" spans="1:35" ht="17.399999999999999" x14ac:dyDescent="0.3">
      <c r="A6" s="1"/>
      <c r="B6" s="1"/>
      <c r="C6" s="1"/>
      <c r="D6" s="12" t="s">
        <v>13</v>
      </c>
      <c r="E6" s="1"/>
      <c r="F6" s="2"/>
      <c r="G6" s="4" t="s">
        <v>14</v>
      </c>
      <c r="H6" s="1"/>
      <c r="I6" s="1"/>
      <c r="J6" s="18">
        <v>1000</v>
      </c>
      <c r="K6" s="1"/>
      <c r="L6" s="1"/>
      <c r="M6" s="1"/>
      <c r="N6" s="1"/>
      <c r="O6" s="1"/>
      <c r="P6" s="1"/>
      <c r="Q6" s="1"/>
      <c r="R6" s="1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</row>
    <row r="7" spans="1:35" ht="20.399999999999999" x14ac:dyDescent="0.35">
      <c r="A7" s="1"/>
      <c r="B7" s="2" t="s">
        <v>22</v>
      </c>
      <c r="C7" s="2" t="s">
        <v>18</v>
      </c>
      <c r="D7" s="13">
        <f>-NORMSINV(D4)</f>
        <v>1.2815515655446006</v>
      </c>
      <c r="E7" s="2"/>
      <c r="F7" s="2"/>
      <c r="G7" s="1"/>
      <c r="H7" s="1"/>
      <c r="I7" s="1"/>
      <c r="J7" s="11"/>
      <c r="K7" s="1"/>
      <c r="L7" s="1"/>
      <c r="M7" s="1"/>
      <c r="N7" s="1"/>
      <c r="O7" s="1"/>
      <c r="P7" s="1"/>
      <c r="Q7" s="1"/>
      <c r="R7" s="1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</row>
    <row r="8" spans="1:35" ht="17.399999999999999" x14ac:dyDescent="0.3">
      <c r="A8" s="1"/>
      <c r="B8" s="2" t="s">
        <v>23</v>
      </c>
      <c r="C8" s="2" t="s">
        <v>19</v>
      </c>
      <c r="D8" s="14">
        <f>EXP(-0.5*(D7^2))/SQRT(2*PI())</f>
        <v>0.17549833193248679</v>
      </c>
      <c r="E8" s="2"/>
      <c r="F8" s="2"/>
      <c r="G8" s="2"/>
      <c r="H8" s="2"/>
      <c r="I8" s="2"/>
      <c r="J8" s="17"/>
      <c r="K8" s="1"/>
      <c r="L8" s="1"/>
      <c r="M8" s="1"/>
      <c r="N8" s="1"/>
      <c r="O8" s="1"/>
      <c r="P8" s="1"/>
      <c r="Q8" s="1"/>
      <c r="R8" s="1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</row>
    <row r="9" spans="1:35" ht="20.399999999999999" x14ac:dyDescent="0.35">
      <c r="A9" s="1"/>
      <c r="B9" s="2" t="s">
        <v>16</v>
      </c>
      <c r="C9" s="2" t="s">
        <v>20</v>
      </c>
      <c r="D9" s="15">
        <f>D8/D4</f>
        <v>1.7549833193248678</v>
      </c>
      <c r="E9" s="2"/>
      <c r="F9" s="2"/>
      <c r="G9" s="4" t="s">
        <v>15</v>
      </c>
      <c r="H9" s="1"/>
      <c r="I9" s="1"/>
      <c r="J9" s="15">
        <f>D9-(J6-J6*D4)/(2*D4*J6*((J6+1)*D9))</f>
        <v>1.7524217539549851</v>
      </c>
      <c r="K9" s="1"/>
      <c r="L9" s="1"/>
      <c r="M9" s="1"/>
      <c r="N9" s="1"/>
      <c r="O9" s="1"/>
      <c r="P9" s="1"/>
      <c r="Q9" s="1"/>
      <c r="R9" s="1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</row>
    <row r="10" spans="1:35" ht="17.399999999999999" x14ac:dyDescent="0.3">
      <c r="A10" s="1"/>
      <c r="B10" s="2"/>
      <c r="C10" s="2"/>
      <c r="D10" s="14"/>
      <c r="E10" s="2"/>
      <c r="F10" s="2"/>
      <c r="G10" s="1"/>
      <c r="H10" s="1"/>
      <c r="I10" s="1"/>
      <c r="K10" s="1"/>
      <c r="L10" s="1"/>
      <c r="M10" s="1"/>
      <c r="N10" s="1"/>
      <c r="O10" s="1"/>
      <c r="P10" s="1"/>
      <c r="Q10" s="1"/>
      <c r="R10" s="1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</row>
    <row r="11" spans="1:35" ht="17.399999999999999" x14ac:dyDescent="0.3">
      <c r="A11" s="7"/>
      <c r="B11" s="7"/>
      <c r="C11" s="7"/>
      <c r="D11" s="16"/>
      <c r="E11" s="2"/>
      <c r="F11" s="2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</row>
    <row r="12" spans="1:35" ht="17.399999999999999" x14ac:dyDescent="0.3">
      <c r="A12" s="1"/>
      <c r="B12" s="8" t="s">
        <v>3</v>
      </c>
      <c r="C12" s="8" t="s">
        <v>0</v>
      </c>
      <c r="D12" s="14">
        <f>D9*(D9-D7)</f>
        <v>0.83086483072308692</v>
      </c>
      <c r="E12" s="2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5" ht="17.399999999999999" x14ac:dyDescent="0.3">
      <c r="A13" s="1"/>
      <c r="B13" s="2" t="s">
        <v>1</v>
      </c>
      <c r="C13" s="2"/>
      <c r="D13" s="14">
        <f>1-D12</f>
        <v>0.16913516927691308</v>
      </c>
      <c r="E13" s="2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5" ht="17.399999999999999" x14ac:dyDescent="0.3">
      <c r="A14" s="1"/>
      <c r="B14" s="2" t="s">
        <v>2</v>
      </c>
      <c r="C14" s="2"/>
      <c r="D14" s="14">
        <f>(1-D12*C15*C15)</f>
        <v>0.3269994871142996</v>
      </c>
      <c r="E14" s="2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5" ht="17.399999999999999" x14ac:dyDescent="0.3">
      <c r="A15" s="1"/>
      <c r="B15" s="2" t="s">
        <v>24</v>
      </c>
      <c r="C15" s="3">
        <v>0.9</v>
      </c>
      <c r="D15" s="17"/>
      <c r="E15" s="2"/>
      <c r="F15" s="2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</row>
    <row r="16" spans="1:35" ht="17.399999999999999" x14ac:dyDescent="0.3">
      <c r="A16" s="1"/>
      <c r="B16" s="2"/>
      <c r="C16" s="2"/>
      <c r="D16" s="2"/>
      <c r="E16" s="2"/>
      <c r="F16" s="2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</row>
    <row r="17" spans="1:36" ht="17.399999999999999" x14ac:dyDescent="0.3">
      <c r="A17" s="1"/>
      <c r="B17" s="2"/>
      <c r="C17" s="2"/>
      <c r="D17" s="2"/>
      <c r="E17" s="2"/>
      <c r="F17" s="2"/>
      <c r="G17" s="2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</row>
    <row r="18" spans="1:36" ht="17.399999999999999" x14ac:dyDescent="0.3">
      <c r="A18" s="1"/>
      <c r="B18" s="2"/>
      <c r="C18" s="2"/>
      <c r="D18" s="2"/>
      <c r="E18" s="2"/>
      <c r="F18" s="2"/>
      <c r="G18" s="2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</row>
    <row r="19" spans="1:36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</row>
    <row r="20" spans="1:36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</row>
    <row r="21" spans="1:36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</row>
    <row r="22" spans="1:36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</row>
    <row r="23" spans="1:36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</row>
    <row r="24" spans="1:36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</row>
    <row r="25" spans="1:36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</row>
    <row r="26" spans="1:36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</row>
    <row r="27" spans="1:36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</row>
    <row r="28" spans="1:36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</row>
    <row r="29" spans="1:36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</row>
    <row r="30" spans="1:36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</row>
    <row r="31" spans="1:36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</row>
    <row r="32" spans="1:36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</row>
    <row r="33" spans="1:36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</row>
    <row r="34" spans="1:36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</row>
    <row r="35" spans="1:36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</row>
    <row r="36" spans="1:36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</row>
    <row r="37" spans="1:36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</row>
    <row r="38" spans="1:36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</row>
    <row r="39" spans="1:36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</row>
    <row r="40" spans="1:36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</row>
    <row r="41" spans="1:36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</row>
    <row r="42" spans="1:36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</row>
    <row r="43" spans="1:36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</row>
    <row r="44" spans="1:36" x14ac:dyDescent="0.25"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</row>
    <row r="98" spans="1:5" x14ac:dyDescent="0.25">
      <c r="A98" s="5"/>
      <c r="B98" s="5"/>
      <c r="C98" s="5"/>
      <c r="D98" s="5"/>
      <c r="E98" s="5"/>
    </row>
    <row r="99" spans="1:5" x14ac:dyDescent="0.25">
      <c r="A99" s="5"/>
      <c r="B99" s="5"/>
      <c r="C99" s="5"/>
      <c r="D99" s="5"/>
      <c r="E99" s="5"/>
    </row>
    <row r="100" spans="1:5" x14ac:dyDescent="0.25">
      <c r="A100" s="5">
        <v>-3.5</v>
      </c>
      <c r="B100" s="5">
        <v>8.7268269504576015E-4</v>
      </c>
      <c r="C100" s="6">
        <f>D7</f>
        <v>1.2815515655446006</v>
      </c>
      <c r="D100" s="5">
        <v>0</v>
      </c>
      <c r="E100" s="5"/>
    </row>
    <row r="101" spans="1:5" x14ac:dyDescent="0.25">
      <c r="A101" s="5">
        <v>-3.4</v>
      </c>
      <c r="B101" s="5">
        <v>1.2322191684730199E-3</v>
      </c>
      <c r="C101" s="6">
        <f>D7</f>
        <v>1.2815515655446006</v>
      </c>
      <c r="D101" s="9">
        <f>VLOOKUP(C101,A100:B170,2,TRUE)-0.01</f>
        <v>0.18418605498321294</v>
      </c>
      <c r="E101" s="5"/>
    </row>
    <row r="102" spans="1:5" x14ac:dyDescent="0.25">
      <c r="A102" s="5">
        <v>-3.3</v>
      </c>
      <c r="B102" s="5">
        <v>1.7225689390536812E-3</v>
      </c>
      <c r="C102" s="6">
        <f>D9</f>
        <v>1.7549833193248678</v>
      </c>
      <c r="D102" s="9">
        <v>0</v>
      </c>
      <c r="E102" s="5"/>
    </row>
    <row r="103" spans="1:5" x14ac:dyDescent="0.25">
      <c r="A103" s="5">
        <v>-3.2</v>
      </c>
      <c r="B103" s="5">
        <v>2.3840882014648404E-3</v>
      </c>
      <c r="C103" s="6">
        <f>D9</f>
        <v>1.7549833193248678</v>
      </c>
      <c r="D103" s="9">
        <f>VLOOKUP(C103,A100:B170,2,TRUE)-0.01</f>
        <v>8.4049077376886952E-2</v>
      </c>
      <c r="E103" s="5"/>
    </row>
    <row r="104" spans="1:5" x14ac:dyDescent="0.25">
      <c r="A104" s="5">
        <v>-3.1</v>
      </c>
      <c r="B104" s="5">
        <v>3.2668190561999182E-3</v>
      </c>
      <c r="C104" s="5"/>
      <c r="D104" s="5"/>
      <c r="E104" s="5"/>
    </row>
    <row r="105" spans="1:5" x14ac:dyDescent="0.25">
      <c r="A105" s="5">
        <v>-3</v>
      </c>
      <c r="B105" s="5">
        <v>4.4318484119380075E-3</v>
      </c>
      <c r="C105" s="5"/>
      <c r="D105" s="5"/>
      <c r="E105" s="5"/>
    </row>
    <row r="106" spans="1:5" x14ac:dyDescent="0.25">
      <c r="A106" s="5">
        <v>-2.9</v>
      </c>
      <c r="B106" s="5">
        <v>5.9525324197758538E-3</v>
      </c>
      <c r="C106" s="5"/>
      <c r="D106" s="5"/>
      <c r="E106" s="5"/>
    </row>
    <row r="107" spans="1:5" x14ac:dyDescent="0.25">
      <c r="A107" s="5">
        <v>-2.8</v>
      </c>
      <c r="B107" s="5">
        <v>7.9154515829799686E-3</v>
      </c>
      <c r="C107" s="5"/>
      <c r="D107" s="5"/>
      <c r="E107" s="5"/>
    </row>
    <row r="108" spans="1:5" x14ac:dyDescent="0.25">
      <c r="A108" s="5">
        <v>-2.7</v>
      </c>
      <c r="B108" s="5">
        <v>1.0420934814422592E-2</v>
      </c>
      <c r="C108" s="5"/>
      <c r="D108" s="5"/>
      <c r="E108" s="5"/>
    </row>
    <row r="109" spans="1:5" x14ac:dyDescent="0.25">
      <c r="A109" s="5">
        <v>-2.6</v>
      </c>
      <c r="B109" s="5">
        <v>1.3582969233685613E-2</v>
      </c>
      <c r="C109" s="5"/>
      <c r="D109" s="5"/>
      <c r="E109" s="5"/>
    </row>
    <row r="110" spans="1:5" x14ac:dyDescent="0.25">
      <c r="A110" s="5">
        <v>-2.5</v>
      </c>
      <c r="B110" s="5">
        <v>1.752830049356854E-2</v>
      </c>
      <c r="C110" s="5"/>
      <c r="D110" s="5"/>
      <c r="E110" s="5"/>
    </row>
    <row r="111" spans="1:5" x14ac:dyDescent="0.25">
      <c r="A111" s="5">
        <v>-2.4</v>
      </c>
      <c r="B111" s="5">
        <v>2.2394530294842899E-2</v>
      </c>
      <c r="C111" s="5"/>
      <c r="D111" s="5"/>
      <c r="E111" s="5"/>
    </row>
    <row r="112" spans="1:5" x14ac:dyDescent="0.25">
      <c r="A112" s="5">
        <v>-2.2999999999999998</v>
      </c>
      <c r="B112" s="5">
        <v>2.8327037741601186E-2</v>
      </c>
      <c r="C112" s="5"/>
      <c r="D112" s="5"/>
      <c r="E112" s="5"/>
    </row>
    <row r="113" spans="1:5" x14ac:dyDescent="0.25">
      <c r="A113" s="5">
        <v>-2.2000000000000002</v>
      </c>
      <c r="B113" s="5">
        <v>3.5474592846231424E-2</v>
      </c>
      <c r="C113" s="5"/>
      <c r="D113" s="5"/>
      <c r="E113" s="5"/>
    </row>
    <row r="114" spans="1:5" x14ac:dyDescent="0.25">
      <c r="A114" s="5">
        <v>-2.1</v>
      </c>
      <c r="B114" s="5">
        <v>4.3983595980427191E-2</v>
      </c>
      <c r="C114" s="5"/>
      <c r="D114" s="5"/>
      <c r="E114" s="5"/>
    </row>
    <row r="115" spans="1:5" x14ac:dyDescent="0.25">
      <c r="A115" s="5">
        <v>-2</v>
      </c>
      <c r="B115" s="5">
        <v>5.3990966513188063E-2</v>
      </c>
      <c r="C115" s="5"/>
      <c r="D115" s="5"/>
      <c r="E115" s="5"/>
    </row>
    <row r="116" spans="1:5" x14ac:dyDescent="0.25">
      <c r="A116" s="5">
        <v>-1.9</v>
      </c>
      <c r="B116" s="5">
        <v>6.5615814774676595E-2</v>
      </c>
      <c r="C116" s="5"/>
      <c r="D116" s="5"/>
      <c r="E116" s="5"/>
    </row>
    <row r="117" spans="1:5" x14ac:dyDescent="0.25">
      <c r="A117" s="5">
        <v>-1.8</v>
      </c>
      <c r="B117" s="5">
        <v>7.8950158300894149E-2</v>
      </c>
      <c r="C117" s="5"/>
      <c r="D117" s="5"/>
      <c r="E117" s="5"/>
    </row>
    <row r="118" spans="1:5" x14ac:dyDescent="0.25">
      <c r="A118" s="5">
        <v>-1.7</v>
      </c>
      <c r="B118" s="5">
        <v>9.4049077376886947E-2</v>
      </c>
      <c r="C118" s="5"/>
      <c r="D118" s="5"/>
      <c r="E118" s="5"/>
    </row>
    <row r="119" spans="1:5" x14ac:dyDescent="0.25">
      <c r="A119" s="5">
        <v>-1.6</v>
      </c>
      <c r="B119" s="5">
        <v>0.11092083467945554</v>
      </c>
      <c r="C119" s="5"/>
      <c r="D119" s="5"/>
      <c r="E119" s="5"/>
    </row>
    <row r="120" spans="1:5" x14ac:dyDescent="0.25">
      <c r="A120" s="5">
        <v>-1.5</v>
      </c>
      <c r="B120" s="5">
        <v>0.12951759566589174</v>
      </c>
      <c r="C120" s="5"/>
      <c r="D120" s="5"/>
      <c r="E120" s="5"/>
    </row>
    <row r="121" spans="1:5" x14ac:dyDescent="0.25">
      <c r="A121" s="5">
        <v>-1.4</v>
      </c>
      <c r="B121" s="5">
        <v>0.14972746563574488</v>
      </c>
      <c r="C121" s="5"/>
      <c r="D121" s="5"/>
      <c r="E121" s="5"/>
    </row>
    <row r="122" spans="1:5" x14ac:dyDescent="0.25">
      <c r="A122" s="5">
        <v>-1.3</v>
      </c>
      <c r="B122" s="5">
        <v>0.17136859204780736</v>
      </c>
      <c r="C122" s="5"/>
      <c r="D122" s="5"/>
      <c r="E122" s="5"/>
    </row>
    <row r="123" spans="1:5" x14ac:dyDescent="0.25">
      <c r="A123" s="5">
        <v>-1.2</v>
      </c>
      <c r="B123" s="5">
        <v>0.19418605498321295</v>
      </c>
      <c r="C123" s="5"/>
      <c r="D123" s="5"/>
      <c r="E123" s="5"/>
    </row>
    <row r="124" spans="1:5" x14ac:dyDescent="0.25">
      <c r="A124" s="5">
        <v>-1.1000000000000001</v>
      </c>
      <c r="B124" s="5">
        <v>0.21785217703255053</v>
      </c>
      <c r="C124" s="5"/>
      <c r="D124" s="5"/>
      <c r="E124" s="5"/>
    </row>
    <row r="125" spans="1:5" x14ac:dyDescent="0.25">
      <c r="A125" s="5">
        <v>-1</v>
      </c>
      <c r="B125" s="5">
        <v>0.24197072451914337</v>
      </c>
      <c r="C125" s="5"/>
      <c r="D125" s="5"/>
      <c r="E125" s="5"/>
    </row>
    <row r="126" spans="1:5" x14ac:dyDescent="0.25">
      <c r="A126" s="5">
        <v>-0.9</v>
      </c>
      <c r="B126" s="5">
        <v>0.26608524989875482</v>
      </c>
      <c r="C126" s="5"/>
      <c r="D126" s="5"/>
      <c r="E126" s="5"/>
    </row>
    <row r="127" spans="1:5" x14ac:dyDescent="0.25">
      <c r="A127" s="5">
        <v>-0.8</v>
      </c>
      <c r="B127" s="5">
        <v>0.28969155276148273</v>
      </c>
      <c r="C127" s="5"/>
      <c r="D127" s="5"/>
      <c r="E127" s="5"/>
    </row>
    <row r="128" spans="1:5" x14ac:dyDescent="0.25">
      <c r="A128" s="5">
        <v>-0.7</v>
      </c>
      <c r="B128" s="5">
        <v>0.31225393336676127</v>
      </c>
      <c r="C128" s="5"/>
      <c r="D128" s="5"/>
      <c r="E128" s="5"/>
    </row>
    <row r="129" spans="1:5" x14ac:dyDescent="0.25">
      <c r="A129" s="5">
        <v>-0.6</v>
      </c>
      <c r="B129" s="5">
        <v>0.33322460289179967</v>
      </c>
      <c r="C129" s="5"/>
      <c r="D129" s="5"/>
      <c r="E129" s="5"/>
    </row>
    <row r="130" spans="1:5" x14ac:dyDescent="0.25">
      <c r="A130" s="5">
        <v>-0.5</v>
      </c>
      <c r="B130" s="5">
        <v>0.35206532676429952</v>
      </c>
      <c r="C130" s="5"/>
      <c r="D130" s="5"/>
      <c r="E130" s="5"/>
    </row>
    <row r="131" spans="1:5" x14ac:dyDescent="0.25">
      <c r="A131" s="5">
        <v>-0.4</v>
      </c>
      <c r="B131" s="5">
        <v>0.36827014030332333</v>
      </c>
      <c r="C131" s="5"/>
      <c r="D131" s="5"/>
      <c r="E131" s="5"/>
    </row>
    <row r="132" spans="1:5" x14ac:dyDescent="0.25">
      <c r="A132" s="5">
        <v>-0.3</v>
      </c>
      <c r="B132" s="5">
        <v>0.38138781546052414</v>
      </c>
      <c r="C132" s="5"/>
      <c r="D132" s="5"/>
      <c r="E132" s="5"/>
    </row>
    <row r="133" spans="1:5" x14ac:dyDescent="0.25">
      <c r="A133" s="5">
        <v>-0.2</v>
      </c>
      <c r="B133" s="5">
        <v>0.39104269397545588</v>
      </c>
      <c r="C133" s="5"/>
      <c r="D133" s="5"/>
      <c r="E133" s="5"/>
    </row>
    <row r="134" spans="1:5" x14ac:dyDescent="0.25">
      <c r="A134" s="5">
        <v>-0.1</v>
      </c>
      <c r="B134" s="5">
        <v>0.39695254747701181</v>
      </c>
      <c r="C134" s="5"/>
      <c r="D134" s="5"/>
      <c r="E134" s="5"/>
    </row>
    <row r="135" spans="1:5" x14ac:dyDescent="0.25">
      <c r="A135" s="5">
        <v>0</v>
      </c>
      <c r="B135" s="5">
        <v>0.3989422804014327</v>
      </c>
      <c r="C135" s="5"/>
      <c r="D135" s="5"/>
      <c r="E135" s="5"/>
    </row>
    <row r="136" spans="1:5" x14ac:dyDescent="0.25">
      <c r="A136" s="5">
        <v>0.1</v>
      </c>
      <c r="B136" s="5">
        <v>0.39695254747701181</v>
      </c>
      <c r="C136" s="5"/>
      <c r="D136" s="5"/>
      <c r="E136" s="5"/>
    </row>
    <row r="137" spans="1:5" x14ac:dyDescent="0.25">
      <c r="A137" s="5">
        <v>0.2</v>
      </c>
      <c r="B137" s="5">
        <v>0.39104269397545588</v>
      </c>
      <c r="C137" s="5"/>
      <c r="D137" s="5"/>
      <c r="E137" s="5"/>
    </row>
    <row r="138" spans="1:5" x14ac:dyDescent="0.25">
      <c r="A138" s="5">
        <v>0.3</v>
      </c>
      <c r="B138" s="5">
        <v>0.38138781546052414</v>
      </c>
      <c r="C138" s="5"/>
      <c r="D138" s="5"/>
      <c r="E138" s="5"/>
    </row>
    <row r="139" spans="1:5" x14ac:dyDescent="0.25">
      <c r="A139" s="5">
        <v>0.4</v>
      </c>
      <c r="B139" s="5">
        <v>0.36827014030332333</v>
      </c>
      <c r="C139" s="5"/>
      <c r="D139" s="5"/>
      <c r="E139" s="5"/>
    </row>
    <row r="140" spans="1:5" x14ac:dyDescent="0.25">
      <c r="A140" s="5">
        <v>0.5</v>
      </c>
      <c r="B140" s="5">
        <v>0.35206532676429952</v>
      </c>
      <c r="C140" s="5"/>
      <c r="D140" s="5"/>
      <c r="E140" s="5"/>
    </row>
    <row r="141" spans="1:5" x14ac:dyDescent="0.25">
      <c r="A141" s="5">
        <v>0.6</v>
      </c>
      <c r="B141" s="5">
        <v>0.33322460289179967</v>
      </c>
      <c r="C141" s="5"/>
      <c r="D141" s="5"/>
      <c r="E141" s="5"/>
    </row>
    <row r="142" spans="1:5" x14ac:dyDescent="0.25">
      <c r="A142" s="5">
        <v>0.7</v>
      </c>
      <c r="B142" s="5">
        <v>0.31225393336676127</v>
      </c>
      <c r="C142" s="5"/>
      <c r="D142" s="5"/>
      <c r="E142" s="5"/>
    </row>
    <row r="143" spans="1:5" x14ac:dyDescent="0.25">
      <c r="A143" s="5">
        <v>0.8</v>
      </c>
      <c r="B143" s="5">
        <v>0.28969155276148273</v>
      </c>
      <c r="C143" s="5"/>
      <c r="D143" s="5"/>
      <c r="E143" s="5"/>
    </row>
    <row r="144" spans="1:5" x14ac:dyDescent="0.25">
      <c r="A144" s="5">
        <v>0.9</v>
      </c>
      <c r="B144" s="5">
        <v>0.26608524989875482</v>
      </c>
      <c r="C144" s="5"/>
      <c r="D144" s="5"/>
      <c r="E144" s="5"/>
    </row>
    <row r="145" spans="1:5" x14ac:dyDescent="0.25">
      <c r="A145" s="5">
        <v>1</v>
      </c>
      <c r="B145" s="5">
        <v>0.24197072451914337</v>
      </c>
      <c r="C145" s="5"/>
      <c r="D145" s="5"/>
      <c r="E145" s="5"/>
    </row>
    <row r="146" spans="1:5" x14ac:dyDescent="0.25">
      <c r="A146" s="5">
        <v>1.1000000000000001</v>
      </c>
      <c r="B146" s="5">
        <v>0.21785217703255053</v>
      </c>
      <c r="C146" s="5"/>
      <c r="D146" s="5"/>
      <c r="E146" s="5"/>
    </row>
    <row r="147" spans="1:5" x14ac:dyDescent="0.25">
      <c r="A147" s="5">
        <v>1.2</v>
      </c>
      <c r="B147" s="5">
        <v>0.19418605498321295</v>
      </c>
      <c r="C147" s="5"/>
      <c r="D147" s="5"/>
      <c r="E147" s="5"/>
    </row>
    <row r="148" spans="1:5" x14ac:dyDescent="0.25">
      <c r="A148" s="5">
        <v>1.3</v>
      </c>
      <c r="B148" s="5">
        <v>0.17136859204780736</v>
      </c>
      <c r="C148" s="5"/>
      <c r="D148" s="5"/>
      <c r="E148" s="5"/>
    </row>
    <row r="149" spans="1:5" x14ac:dyDescent="0.25">
      <c r="A149" s="5">
        <v>1.4</v>
      </c>
      <c r="B149" s="5">
        <v>0.14972746563574488</v>
      </c>
      <c r="C149" s="5"/>
      <c r="D149" s="5"/>
      <c r="E149" s="5"/>
    </row>
    <row r="150" spans="1:5" x14ac:dyDescent="0.25">
      <c r="A150" s="5">
        <v>1.5</v>
      </c>
      <c r="B150" s="5">
        <v>0.12951759566589174</v>
      </c>
      <c r="C150" s="5"/>
      <c r="D150" s="5"/>
      <c r="E150" s="5"/>
    </row>
    <row r="151" spans="1:5" x14ac:dyDescent="0.25">
      <c r="A151" s="5">
        <v>1.6</v>
      </c>
      <c r="B151" s="5">
        <v>0.11092083467945554</v>
      </c>
      <c r="C151" s="5"/>
      <c r="D151" s="5"/>
      <c r="E151" s="5"/>
    </row>
    <row r="152" spans="1:5" x14ac:dyDescent="0.25">
      <c r="A152" s="5">
        <v>1.7</v>
      </c>
      <c r="B152" s="5">
        <v>9.4049077376886947E-2</v>
      </c>
      <c r="C152" s="5"/>
      <c r="D152" s="5"/>
      <c r="E152" s="5"/>
    </row>
    <row r="153" spans="1:5" x14ac:dyDescent="0.25">
      <c r="A153" s="5">
        <v>1.8</v>
      </c>
      <c r="B153" s="5">
        <v>7.8950158300894149E-2</v>
      </c>
      <c r="C153" s="5"/>
      <c r="D153" s="5"/>
      <c r="E153" s="5"/>
    </row>
    <row r="154" spans="1:5" x14ac:dyDescent="0.25">
      <c r="A154" s="5">
        <v>1.9</v>
      </c>
      <c r="B154" s="5">
        <v>6.5615814774676595E-2</v>
      </c>
      <c r="C154" s="5"/>
      <c r="D154" s="5"/>
      <c r="E154" s="5"/>
    </row>
    <row r="155" spans="1:5" x14ac:dyDescent="0.25">
      <c r="A155" s="5">
        <v>2.0000000000000102</v>
      </c>
      <c r="B155" s="5">
        <v>5.3990966513186953E-2</v>
      </c>
      <c r="C155" s="5"/>
      <c r="D155" s="5"/>
      <c r="E155" s="5"/>
    </row>
    <row r="156" spans="1:5" x14ac:dyDescent="0.25">
      <c r="A156" s="5">
        <v>2.1</v>
      </c>
      <c r="B156" s="5">
        <v>4.3983595980427191E-2</v>
      </c>
      <c r="C156" s="5"/>
      <c r="D156" s="5"/>
      <c r="E156" s="5"/>
    </row>
    <row r="157" spans="1:5" x14ac:dyDescent="0.25">
      <c r="A157" s="5">
        <v>2.2000000000000002</v>
      </c>
      <c r="B157" s="5">
        <v>3.5474592846231424E-2</v>
      </c>
      <c r="C157" s="5"/>
      <c r="D157" s="5"/>
      <c r="E157" s="5"/>
    </row>
    <row r="158" spans="1:5" x14ac:dyDescent="0.25">
      <c r="A158" s="5">
        <v>2.30000000000001</v>
      </c>
      <c r="B158" s="5">
        <v>2.8327037741600516E-2</v>
      </c>
      <c r="C158" s="5"/>
      <c r="D158" s="5"/>
      <c r="E158" s="5"/>
    </row>
    <row r="159" spans="1:5" x14ac:dyDescent="0.25">
      <c r="A159" s="5">
        <v>2.4000000000000101</v>
      </c>
      <c r="B159" s="5">
        <v>2.2394530294842355E-2</v>
      </c>
      <c r="C159" s="5"/>
      <c r="D159" s="5"/>
      <c r="E159" s="5"/>
    </row>
    <row r="160" spans="1:5" x14ac:dyDescent="0.25">
      <c r="A160" s="5">
        <v>2.5000000000000102</v>
      </c>
      <c r="B160" s="5">
        <v>1.7528300493568086E-2</v>
      </c>
      <c r="C160" s="5"/>
      <c r="D160" s="5"/>
      <c r="E160" s="5"/>
    </row>
    <row r="161" spans="1:5" x14ac:dyDescent="0.25">
      <c r="A161" s="5">
        <v>2.6</v>
      </c>
      <c r="B161" s="5">
        <v>1.3582969233685613E-2</v>
      </c>
      <c r="C161" s="5"/>
      <c r="D161" s="5"/>
      <c r="E161" s="5"/>
    </row>
    <row r="162" spans="1:5" x14ac:dyDescent="0.25">
      <c r="A162" s="5">
        <v>2.7000000000000099</v>
      </c>
      <c r="B162" s="5">
        <v>1.0420934814422318E-2</v>
      </c>
      <c r="C162" s="5"/>
      <c r="D162" s="5"/>
      <c r="E162" s="5"/>
    </row>
    <row r="163" spans="1:5" x14ac:dyDescent="0.25">
      <c r="A163" s="5">
        <v>2.80000000000001</v>
      </c>
      <c r="B163" s="5">
        <v>7.915451582979743E-3</v>
      </c>
      <c r="C163" s="5"/>
      <c r="D163" s="5"/>
      <c r="E163" s="5"/>
    </row>
    <row r="164" spans="1:5" x14ac:dyDescent="0.25">
      <c r="A164" s="5">
        <v>2.9000000000000101</v>
      </c>
      <c r="B164" s="5">
        <v>5.9525324197756795E-3</v>
      </c>
      <c r="C164" s="5"/>
      <c r="D164" s="5"/>
      <c r="E164" s="5"/>
    </row>
    <row r="165" spans="1:5" x14ac:dyDescent="0.25">
      <c r="A165" s="5">
        <v>3.0000000000000102</v>
      </c>
      <c r="B165" s="5">
        <v>4.431848411937874E-3</v>
      </c>
      <c r="C165" s="5"/>
      <c r="D165" s="5"/>
      <c r="E165" s="5"/>
    </row>
    <row r="166" spans="1:5" x14ac:dyDescent="0.25">
      <c r="A166" s="5">
        <v>3.1000000000000099</v>
      </c>
      <c r="B166" s="5">
        <v>3.2668190561998202E-3</v>
      </c>
      <c r="C166" s="5"/>
      <c r="D166" s="5"/>
      <c r="E166" s="5"/>
    </row>
    <row r="167" spans="1:5" x14ac:dyDescent="0.25">
      <c r="A167" s="5">
        <v>3.2000000000000099</v>
      </c>
      <c r="B167" s="5">
        <v>2.3840882014647662E-3</v>
      </c>
      <c r="C167" s="5"/>
      <c r="D167" s="5"/>
      <c r="E167" s="5"/>
    </row>
    <row r="168" spans="1:5" x14ac:dyDescent="0.25">
      <c r="A168" s="5">
        <v>3.30000000000001</v>
      </c>
      <c r="B168" s="5">
        <v>1.7225689390536229E-3</v>
      </c>
      <c r="C168" s="5"/>
      <c r="D168" s="5"/>
      <c r="E168" s="5"/>
    </row>
    <row r="169" spans="1:5" x14ac:dyDescent="0.25">
      <c r="A169" s="5">
        <v>3.4000000000000101</v>
      </c>
      <c r="B169" s="5">
        <v>1.2322191684729772E-3</v>
      </c>
      <c r="C169" s="5"/>
      <c r="D169" s="5"/>
      <c r="E169" s="5"/>
    </row>
    <row r="170" spans="1:5" x14ac:dyDescent="0.25">
      <c r="A170" s="5">
        <v>3.5000000000000102</v>
      </c>
      <c r="B170" s="5">
        <v>8.7268269504572915E-4</v>
      </c>
      <c r="C170" s="5"/>
      <c r="D170" s="5"/>
      <c r="E170" s="5"/>
    </row>
    <row r="171" spans="1:5" x14ac:dyDescent="0.25">
      <c r="A171" s="5"/>
      <c r="B171" s="5"/>
      <c r="C171" s="5"/>
      <c r="D171" s="5"/>
      <c r="E171" s="5"/>
    </row>
  </sheetData>
  <sheetProtection selectLockedCells="1"/>
  <phoneticPr fontId="1" type="noConversion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49"/>
  <sheetViews>
    <sheetView zoomScaleNormal="100" zoomScaleSheetLayoutView="100" workbookViewId="0">
      <selection activeCell="R25" sqref="R25"/>
    </sheetView>
  </sheetViews>
  <sheetFormatPr defaultRowHeight="13.2" x14ac:dyDescent="0.25"/>
  <cols>
    <col min="1" max="35" width="8.88671875" style="7"/>
  </cols>
  <sheetData>
    <row r="1" spans="1:11" ht="15.6" x14ac:dyDescent="0.3">
      <c r="A1" s="23"/>
      <c r="C1" s="23" t="s">
        <v>4</v>
      </c>
    </row>
    <row r="2" spans="1:11" x14ac:dyDescent="0.25">
      <c r="B2" s="7" t="s">
        <v>5</v>
      </c>
    </row>
    <row r="3" spans="1:11" x14ac:dyDescent="0.25">
      <c r="B3" s="7" t="s">
        <v>6</v>
      </c>
    </row>
    <row r="5" spans="1:11" x14ac:dyDescent="0.25">
      <c r="A5" s="24" t="s">
        <v>7</v>
      </c>
      <c r="B5" s="24" t="s">
        <v>8</v>
      </c>
      <c r="C5" s="24" t="s">
        <v>9</v>
      </c>
      <c r="E5" s="24" t="s">
        <v>7</v>
      </c>
      <c r="F5" s="24" t="s">
        <v>8</v>
      </c>
      <c r="G5" s="24" t="s">
        <v>9</v>
      </c>
      <c r="I5" s="24" t="s">
        <v>7</v>
      </c>
      <c r="J5" s="24" t="s">
        <v>8</v>
      </c>
      <c r="K5" s="24" t="s">
        <v>9</v>
      </c>
    </row>
    <row r="6" spans="1:11" x14ac:dyDescent="0.25">
      <c r="A6" s="25" t="s">
        <v>10</v>
      </c>
      <c r="B6" s="25" t="s">
        <v>11</v>
      </c>
      <c r="C6" s="25" t="s">
        <v>12</v>
      </c>
      <c r="E6" s="25" t="s">
        <v>10</v>
      </c>
      <c r="F6" s="25" t="s">
        <v>11</v>
      </c>
      <c r="G6" s="25" t="s">
        <v>12</v>
      </c>
      <c r="I6" s="25" t="s">
        <v>10</v>
      </c>
      <c r="J6" s="25" t="s">
        <v>11</v>
      </c>
      <c r="K6" s="25" t="s">
        <v>12</v>
      </c>
    </row>
    <row r="7" spans="1:11" x14ac:dyDescent="0.25">
      <c r="A7" s="26">
        <v>0.01</v>
      </c>
      <c r="B7" s="27">
        <v>3.7189999999999999</v>
      </c>
      <c r="C7" s="27">
        <v>3.9584999999999999</v>
      </c>
      <c r="D7" s="27"/>
      <c r="E7" s="28">
        <v>1</v>
      </c>
      <c r="F7" s="27">
        <v>2.3262999999999998</v>
      </c>
      <c r="G7" s="27">
        <v>2.6652</v>
      </c>
      <c r="H7" s="27"/>
      <c r="I7" s="29">
        <v>20</v>
      </c>
      <c r="J7" s="27">
        <v>0.84160000000000001</v>
      </c>
      <c r="K7" s="27">
        <v>1.3997999999999999</v>
      </c>
    </row>
    <row r="8" spans="1:11" x14ac:dyDescent="0.25">
      <c r="A8" s="26">
        <v>0.02</v>
      </c>
      <c r="B8" s="27">
        <v>3.5400999999999998</v>
      </c>
      <c r="C8" s="27">
        <v>3.7892000000000001</v>
      </c>
      <c r="D8" s="27"/>
      <c r="E8" s="28">
        <v>1.2</v>
      </c>
      <c r="F8" s="27">
        <v>2.2570999999999999</v>
      </c>
      <c r="G8" s="27">
        <v>2.6027999999999998</v>
      </c>
      <c r="H8" s="27"/>
      <c r="I8" s="29">
        <v>21</v>
      </c>
      <c r="J8" s="27">
        <v>0.80640000000000001</v>
      </c>
      <c r="K8" s="27">
        <v>1.3724000000000001</v>
      </c>
    </row>
    <row r="9" spans="1:11" x14ac:dyDescent="0.25">
      <c r="A9" s="26">
        <v>0.03</v>
      </c>
      <c r="B9" s="27">
        <v>3.4316</v>
      </c>
      <c r="C9" s="27">
        <v>3.6869000000000001</v>
      </c>
      <c r="D9" s="27"/>
      <c r="E9" s="28">
        <v>1.4</v>
      </c>
      <c r="F9" s="27">
        <v>2.1972999999999998</v>
      </c>
      <c r="G9" s="27">
        <v>2.5491000000000001</v>
      </c>
      <c r="H9" s="27"/>
      <c r="I9" s="29">
        <v>22</v>
      </c>
      <c r="J9" s="27">
        <v>0.7722</v>
      </c>
      <c r="K9" s="27">
        <v>1.3459000000000001</v>
      </c>
    </row>
    <row r="10" spans="1:11" x14ac:dyDescent="0.25">
      <c r="A10" s="26">
        <v>0.04</v>
      </c>
      <c r="B10" s="27">
        <v>3.3527999999999998</v>
      </c>
      <c r="C10" s="27">
        <v>3.6128</v>
      </c>
      <c r="D10" s="27"/>
      <c r="E10" s="28">
        <v>1.6</v>
      </c>
      <c r="F10" s="27">
        <v>2.1444000000000001</v>
      </c>
      <c r="G10" s="27">
        <v>2.5017</v>
      </c>
      <c r="H10" s="27"/>
      <c r="I10" s="29">
        <v>23</v>
      </c>
      <c r="J10" s="27">
        <v>0.73880000000000001</v>
      </c>
      <c r="K10" s="27">
        <v>1.3202</v>
      </c>
    </row>
    <row r="11" spans="1:11" x14ac:dyDescent="0.25">
      <c r="A11" s="26">
        <v>0.05</v>
      </c>
      <c r="B11" s="27">
        <v>3.2905000000000002</v>
      </c>
      <c r="C11" s="27">
        <v>3.5543999999999998</v>
      </c>
      <c r="D11" s="27"/>
      <c r="E11" s="28">
        <v>1.8</v>
      </c>
      <c r="F11" s="27">
        <v>2.0969000000000002</v>
      </c>
      <c r="G11" s="27">
        <v>2.4592999999999998</v>
      </c>
      <c r="H11" s="27"/>
      <c r="I11" s="29">
        <v>24</v>
      </c>
      <c r="J11" s="27">
        <v>0.70630000000000004</v>
      </c>
      <c r="K11" s="27">
        <v>1.2952999999999999</v>
      </c>
    </row>
    <row r="12" spans="1:11" x14ac:dyDescent="0.25">
      <c r="A12" s="26">
        <v>0.06</v>
      </c>
      <c r="B12" s="27">
        <v>3.2389000000000001</v>
      </c>
      <c r="C12" s="27">
        <v>3.5059999999999998</v>
      </c>
      <c r="D12" s="27"/>
      <c r="E12" s="28">
        <v>2</v>
      </c>
      <c r="F12" s="27">
        <v>2.0537000000000001</v>
      </c>
      <c r="G12" s="27">
        <v>2.4209000000000001</v>
      </c>
      <c r="H12" s="27"/>
      <c r="I12" s="29">
        <v>25</v>
      </c>
      <c r="J12" s="27">
        <v>0.67449999999999999</v>
      </c>
      <c r="K12" s="27">
        <v>1.2710999999999999</v>
      </c>
    </row>
    <row r="13" spans="1:11" x14ac:dyDescent="0.25">
      <c r="A13" s="26">
        <v>7.0000000000000007E-2</v>
      </c>
      <c r="B13" s="27">
        <v>3.1947000000000001</v>
      </c>
      <c r="C13" s="27">
        <v>3.4645999999999999</v>
      </c>
      <c r="D13" s="27"/>
      <c r="E13" s="28">
        <v>2.2000000000000002</v>
      </c>
      <c r="F13" s="27">
        <v>2.0141</v>
      </c>
      <c r="G13" s="27">
        <v>2.3856999999999999</v>
      </c>
      <c r="H13" s="27"/>
      <c r="I13" s="29">
        <v>26</v>
      </c>
      <c r="J13" s="27">
        <v>0.64329999999999998</v>
      </c>
      <c r="K13" s="27">
        <v>1.2476</v>
      </c>
    </row>
    <row r="14" spans="1:11" x14ac:dyDescent="0.25">
      <c r="A14" s="26">
        <v>0.08</v>
      </c>
      <c r="B14" s="27">
        <v>3.1558999999999999</v>
      </c>
      <c r="C14" s="27">
        <v>3.4283999999999999</v>
      </c>
      <c r="D14" s="27"/>
      <c r="E14" s="28">
        <v>2.4</v>
      </c>
      <c r="F14" s="27">
        <v>1.9774</v>
      </c>
      <c r="G14" s="27">
        <v>2.3532000000000002</v>
      </c>
      <c r="H14" s="27"/>
      <c r="I14" s="29">
        <v>27</v>
      </c>
      <c r="J14" s="27">
        <v>0.61280000000000001</v>
      </c>
      <c r="K14" s="27">
        <v>1.2245999999999999</v>
      </c>
    </row>
    <row r="15" spans="1:11" x14ac:dyDescent="0.25">
      <c r="A15" s="26">
        <v>0.09</v>
      </c>
      <c r="B15" s="27">
        <v>3.1214</v>
      </c>
      <c r="C15" s="27">
        <v>3.3961999999999999</v>
      </c>
      <c r="D15" s="27"/>
      <c r="E15" s="28">
        <v>2.6</v>
      </c>
      <c r="F15" s="27">
        <v>1.9431</v>
      </c>
      <c r="G15" s="27">
        <v>2.3229000000000002</v>
      </c>
      <c r="H15" s="27"/>
      <c r="I15" s="29">
        <v>28</v>
      </c>
      <c r="J15" s="27">
        <v>0.58279999999999998</v>
      </c>
      <c r="K15" s="27">
        <v>1.2021999999999999</v>
      </c>
    </row>
    <row r="16" spans="1:11" x14ac:dyDescent="0.25">
      <c r="A16" s="26">
        <v>0.1</v>
      </c>
      <c r="B16" s="27">
        <v>3.0901999999999998</v>
      </c>
      <c r="C16" s="27">
        <v>3.3671000000000002</v>
      </c>
      <c r="D16" s="27"/>
      <c r="E16" s="28">
        <v>2.8</v>
      </c>
      <c r="F16" s="27">
        <v>1.911</v>
      </c>
      <c r="G16" s="27">
        <v>2.2947000000000002</v>
      </c>
      <c r="H16" s="27"/>
      <c r="I16" s="29">
        <v>29</v>
      </c>
      <c r="J16" s="27">
        <v>0.5534</v>
      </c>
      <c r="K16" s="27">
        <v>1.1803999999999999</v>
      </c>
    </row>
    <row r="17" spans="1:11" x14ac:dyDescent="0.25">
      <c r="A17" s="26"/>
      <c r="B17" s="27"/>
      <c r="C17" s="27"/>
      <c r="D17" s="27"/>
      <c r="E17" s="28">
        <v>3</v>
      </c>
      <c r="F17" s="27">
        <v>1.8808</v>
      </c>
      <c r="G17" s="27">
        <v>2.2681</v>
      </c>
      <c r="H17" s="27"/>
      <c r="I17" s="29">
        <v>30</v>
      </c>
      <c r="J17" s="27">
        <v>0.52439999999999998</v>
      </c>
      <c r="K17" s="27">
        <v>1.159</v>
      </c>
    </row>
    <row r="18" spans="1:11" x14ac:dyDescent="0.25">
      <c r="A18" s="26">
        <v>0.12</v>
      </c>
      <c r="B18" s="27">
        <v>3.0356999999999998</v>
      </c>
      <c r="C18" s="27">
        <v>3.3163</v>
      </c>
      <c r="D18" s="27"/>
      <c r="E18" s="28">
        <v>3.2</v>
      </c>
      <c r="F18" s="27">
        <v>1.8522000000000001</v>
      </c>
      <c r="G18" s="27">
        <v>2.2429999999999999</v>
      </c>
      <c r="H18" s="27"/>
      <c r="I18" s="29">
        <v>31</v>
      </c>
      <c r="J18" s="27">
        <v>0.49590000000000001</v>
      </c>
      <c r="K18" s="27">
        <v>1.1379999999999999</v>
      </c>
    </row>
    <row r="19" spans="1:11" x14ac:dyDescent="0.25">
      <c r="A19" s="26">
        <v>0.14000000000000001</v>
      </c>
      <c r="B19" s="27">
        <v>2.9889000000000001</v>
      </c>
      <c r="C19" s="27">
        <v>3.2728000000000002</v>
      </c>
      <c r="D19" s="27"/>
      <c r="E19" s="28">
        <v>3.4</v>
      </c>
      <c r="F19" s="27">
        <v>1.825</v>
      </c>
      <c r="G19" s="27">
        <v>2.2191999999999998</v>
      </c>
      <c r="H19" s="27"/>
      <c r="I19" s="29">
        <v>32</v>
      </c>
      <c r="J19" s="27">
        <v>0.4677</v>
      </c>
      <c r="K19" s="27">
        <v>1.1174999999999999</v>
      </c>
    </row>
    <row r="20" spans="1:11" x14ac:dyDescent="0.25">
      <c r="A20" s="26">
        <v>0.16</v>
      </c>
      <c r="B20" s="27">
        <v>2.9478</v>
      </c>
      <c r="C20" s="27">
        <v>3.2347000000000001</v>
      </c>
      <c r="D20" s="27"/>
      <c r="E20" s="28">
        <v>3.6</v>
      </c>
      <c r="F20" s="27">
        <v>1.7990999999999999</v>
      </c>
      <c r="G20" s="27">
        <v>2.1964999999999999</v>
      </c>
      <c r="H20" s="27"/>
      <c r="I20" s="29">
        <v>33</v>
      </c>
      <c r="J20" s="27">
        <v>0.43990000000000001</v>
      </c>
      <c r="K20" s="27">
        <v>1.0973999999999999</v>
      </c>
    </row>
    <row r="21" spans="1:11" x14ac:dyDescent="0.25">
      <c r="A21" s="26">
        <v>0.18</v>
      </c>
      <c r="B21" s="27">
        <v>2.9112</v>
      </c>
      <c r="C21" s="27">
        <v>3.2006999999999999</v>
      </c>
      <c r="D21" s="27"/>
      <c r="E21" s="28">
        <v>3.8</v>
      </c>
      <c r="F21" s="27">
        <v>1.7744</v>
      </c>
      <c r="G21" s="27">
        <v>2.1749999999999998</v>
      </c>
      <c r="H21" s="27"/>
      <c r="I21" s="29">
        <v>34</v>
      </c>
      <c r="J21" s="27">
        <v>0.41249999999999998</v>
      </c>
      <c r="K21" s="27">
        <v>1.0777000000000001</v>
      </c>
    </row>
    <row r="22" spans="1:11" x14ac:dyDescent="0.25">
      <c r="A22" s="26">
        <v>0.2</v>
      </c>
      <c r="B22" s="27">
        <v>2.8782000000000001</v>
      </c>
      <c r="C22" s="27">
        <v>3.1701000000000001</v>
      </c>
      <c r="D22" s="27"/>
      <c r="E22" s="28">
        <v>4</v>
      </c>
      <c r="F22" s="27">
        <v>1.7506999999999999</v>
      </c>
      <c r="G22" s="27">
        <v>2.1543000000000001</v>
      </c>
      <c r="H22" s="27"/>
      <c r="I22" s="29">
        <v>35</v>
      </c>
      <c r="J22" s="27">
        <v>0.38529999999999998</v>
      </c>
      <c r="K22" s="27">
        <v>1.0583</v>
      </c>
    </row>
    <row r="23" spans="1:11" x14ac:dyDescent="0.25">
      <c r="A23" s="26">
        <v>0.22</v>
      </c>
      <c r="B23" s="27">
        <v>2.8479999999999999</v>
      </c>
      <c r="C23" s="27">
        <v>3.1421999999999999</v>
      </c>
      <c r="D23" s="27"/>
      <c r="E23" s="28">
        <v>4.2</v>
      </c>
      <c r="F23" s="27">
        <v>1.7279</v>
      </c>
      <c r="G23" s="27">
        <v>2.1345999999999998</v>
      </c>
      <c r="H23" s="27"/>
      <c r="I23" s="29">
        <v>36</v>
      </c>
      <c r="J23" s="27">
        <v>0.35849999999999999</v>
      </c>
      <c r="K23" s="27">
        <v>1.0391999999999999</v>
      </c>
    </row>
    <row r="24" spans="1:11" x14ac:dyDescent="0.25">
      <c r="A24" s="26">
        <v>0.24</v>
      </c>
      <c r="B24" s="27">
        <v>2.8201999999999998</v>
      </c>
      <c r="C24" s="27">
        <v>3.1164999999999998</v>
      </c>
      <c r="D24" s="27"/>
      <c r="E24" s="28">
        <v>4.4000000000000004</v>
      </c>
      <c r="F24" s="27">
        <v>1.706</v>
      </c>
      <c r="G24" s="27">
        <v>2.1156000000000001</v>
      </c>
      <c r="H24" s="27"/>
      <c r="I24" s="29">
        <v>37</v>
      </c>
      <c r="J24" s="27">
        <v>0.33189999999999997</v>
      </c>
      <c r="K24" s="27">
        <v>1.0205</v>
      </c>
    </row>
    <row r="25" spans="1:11" x14ac:dyDescent="0.25">
      <c r="A25" s="26">
        <v>0.26</v>
      </c>
      <c r="B25" s="27">
        <v>2.7944</v>
      </c>
      <c r="C25" s="27">
        <v>3.0926999999999998</v>
      </c>
      <c r="D25" s="27"/>
      <c r="E25" s="28">
        <v>4.5999999999999996</v>
      </c>
      <c r="F25" s="27">
        <v>1.6849000000000001</v>
      </c>
      <c r="G25" s="27">
        <v>2.0973000000000002</v>
      </c>
      <c r="H25" s="27"/>
      <c r="I25" s="29">
        <v>38</v>
      </c>
      <c r="J25" s="27">
        <v>0.30549999999999999</v>
      </c>
      <c r="K25" s="27">
        <v>1.002</v>
      </c>
    </row>
    <row r="26" spans="1:11" x14ac:dyDescent="0.25">
      <c r="A26" s="26">
        <v>0.28000000000000003</v>
      </c>
      <c r="B26" s="27">
        <v>2.7703000000000002</v>
      </c>
      <c r="C26" s="27">
        <v>3.0705</v>
      </c>
      <c r="D26" s="27"/>
      <c r="E26" s="28">
        <v>4.8</v>
      </c>
      <c r="F26" s="27">
        <v>1.6646000000000001</v>
      </c>
      <c r="G26" s="27">
        <v>2.0796999999999999</v>
      </c>
      <c r="H26" s="27"/>
      <c r="I26" s="29">
        <v>39</v>
      </c>
      <c r="J26" s="27">
        <v>0.27929999999999999</v>
      </c>
      <c r="K26" s="27">
        <v>0.98380000000000001</v>
      </c>
    </row>
    <row r="27" spans="1:11" x14ac:dyDescent="0.25">
      <c r="A27" s="26">
        <v>0.3</v>
      </c>
      <c r="B27" s="27">
        <v>2.7477999999999998</v>
      </c>
      <c r="C27" s="27">
        <v>3.0497000000000001</v>
      </c>
      <c r="D27" s="27"/>
      <c r="E27" s="28">
        <v>5</v>
      </c>
      <c r="F27" s="27">
        <v>1.6449</v>
      </c>
      <c r="G27" s="27">
        <v>2.0627</v>
      </c>
      <c r="H27" s="27"/>
      <c r="I27" s="29">
        <v>40</v>
      </c>
      <c r="J27" s="27">
        <v>0.25330000000000003</v>
      </c>
      <c r="K27" s="27">
        <v>0.96589999999999998</v>
      </c>
    </row>
    <row r="28" spans="1:11" x14ac:dyDescent="0.25">
      <c r="A28" s="26">
        <v>0.32</v>
      </c>
      <c r="B28" s="27">
        <v>2.7265999999999999</v>
      </c>
      <c r="C28" s="27">
        <v>3.0301999999999998</v>
      </c>
      <c r="D28" s="27"/>
      <c r="E28" s="28"/>
      <c r="F28" s="27"/>
      <c r="G28" s="27"/>
      <c r="H28" s="27"/>
      <c r="I28" s="29">
        <v>41</v>
      </c>
      <c r="J28" s="27">
        <v>0.22750000000000001</v>
      </c>
      <c r="K28" s="27">
        <v>0.94820000000000004</v>
      </c>
    </row>
    <row r="29" spans="1:11" x14ac:dyDescent="0.25">
      <c r="A29" s="26">
        <v>0.34</v>
      </c>
      <c r="B29" s="27">
        <v>2.7065000000000001</v>
      </c>
      <c r="C29" s="27">
        <v>3.0116999999999998</v>
      </c>
      <c r="D29" s="27"/>
      <c r="E29" s="28">
        <v>5</v>
      </c>
      <c r="F29" s="27">
        <v>1.6449</v>
      </c>
      <c r="G29" s="27">
        <v>2.0627</v>
      </c>
      <c r="H29" s="27"/>
      <c r="I29" s="29">
        <v>42</v>
      </c>
      <c r="J29" s="27">
        <v>0.2019</v>
      </c>
      <c r="K29" s="27">
        <v>0.93069999999999997</v>
      </c>
    </row>
    <row r="30" spans="1:11" x14ac:dyDescent="0.25">
      <c r="A30" s="26">
        <v>0.36</v>
      </c>
      <c r="B30" s="27">
        <v>2.6873999999999998</v>
      </c>
      <c r="C30" s="27">
        <v>2.9942000000000002</v>
      </c>
      <c r="D30" s="27"/>
      <c r="E30" s="28">
        <v>5.5</v>
      </c>
      <c r="F30" s="27">
        <v>1.5982000000000001</v>
      </c>
      <c r="G30" s="27">
        <v>2.0226000000000002</v>
      </c>
      <c r="H30" s="27"/>
      <c r="I30" s="29">
        <v>43</v>
      </c>
      <c r="J30" s="27">
        <v>0.1764</v>
      </c>
      <c r="K30" s="27">
        <v>0.91349999999999998</v>
      </c>
    </row>
    <row r="31" spans="1:11" x14ac:dyDescent="0.25">
      <c r="A31" s="26">
        <v>0.38</v>
      </c>
      <c r="B31" s="27">
        <v>2.6692999999999998</v>
      </c>
      <c r="C31" s="27">
        <v>2.9775999999999998</v>
      </c>
      <c r="D31" s="27"/>
      <c r="E31" s="28">
        <v>6</v>
      </c>
      <c r="F31" s="27">
        <v>1.5548</v>
      </c>
      <c r="G31" s="27">
        <v>1.9854000000000001</v>
      </c>
      <c r="H31" s="27"/>
      <c r="I31" s="29">
        <v>44</v>
      </c>
      <c r="J31" s="27">
        <v>0.151</v>
      </c>
      <c r="K31" s="27">
        <v>0.89639999999999997</v>
      </c>
    </row>
    <row r="32" spans="1:11" x14ac:dyDescent="0.25">
      <c r="A32" s="26">
        <v>0.4</v>
      </c>
      <c r="B32" s="27">
        <v>2.6520999999999999</v>
      </c>
      <c r="C32" s="27">
        <v>2.9618000000000002</v>
      </c>
      <c r="D32" s="27"/>
      <c r="E32" s="28">
        <v>6.5</v>
      </c>
      <c r="F32" s="27">
        <v>1.5141</v>
      </c>
      <c r="G32" s="27">
        <v>1.9507000000000001</v>
      </c>
      <c r="H32" s="27"/>
      <c r="I32" s="29">
        <v>45</v>
      </c>
      <c r="J32" s="27">
        <v>0.12570000000000001</v>
      </c>
      <c r="K32" s="27">
        <v>0.87960000000000005</v>
      </c>
    </row>
    <row r="33" spans="1:11" x14ac:dyDescent="0.25">
      <c r="A33" s="26">
        <v>0.42</v>
      </c>
      <c r="B33" s="27">
        <v>2.6356000000000002</v>
      </c>
      <c r="C33" s="27">
        <v>2.9466000000000001</v>
      </c>
      <c r="D33" s="27"/>
      <c r="E33" s="28">
        <v>7</v>
      </c>
      <c r="F33" s="27">
        <v>1.4758</v>
      </c>
      <c r="G33" s="27">
        <v>1.9180999999999999</v>
      </c>
      <c r="H33" s="27"/>
      <c r="I33" s="29">
        <v>46</v>
      </c>
      <c r="J33" s="27">
        <v>0.1004</v>
      </c>
      <c r="K33" s="27">
        <v>0.8629</v>
      </c>
    </row>
    <row r="34" spans="1:11" x14ac:dyDescent="0.25">
      <c r="A34" s="26">
        <v>0.44</v>
      </c>
      <c r="B34" s="27">
        <v>2.6196999999999999</v>
      </c>
      <c r="C34" s="27">
        <v>2.9321000000000002</v>
      </c>
      <c r="D34" s="27"/>
      <c r="E34" s="28">
        <v>7.5</v>
      </c>
      <c r="F34" s="27">
        <v>1.4395</v>
      </c>
      <c r="G34" s="27">
        <v>1.8874</v>
      </c>
      <c r="H34" s="27"/>
      <c r="I34" s="29">
        <v>47</v>
      </c>
      <c r="J34" s="27">
        <v>7.5300000000000006E-2</v>
      </c>
      <c r="K34" s="27">
        <v>0.84640000000000004</v>
      </c>
    </row>
    <row r="35" spans="1:11" x14ac:dyDescent="0.25">
      <c r="A35" s="26">
        <v>0.46</v>
      </c>
      <c r="B35" s="27">
        <v>2.6044999999999998</v>
      </c>
      <c r="C35" s="27">
        <v>2.9182000000000001</v>
      </c>
      <c r="D35" s="27"/>
      <c r="E35" s="28">
        <v>8</v>
      </c>
      <c r="F35" s="27">
        <v>1.4051</v>
      </c>
      <c r="G35" s="27">
        <v>1.8583000000000001</v>
      </c>
      <c r="H35" s="27"/>
      <c r="I35" s="29">
        <v>48</v>
      </c>
      <c r="J35" s="27">
        <v>5.0200000000000002E-2</v>
      </c>
      <c r="K35" s="27">
        <v>0.83009999999999995</v>
      </c>
    </row>
    <row r="36" spans="1:11" x14ac:dyDescent="0.25">
      <c r="A36" s="26">
        <v>0.48</v>
      </c>
      <c r="B36" s="27">
        <v>2.5899000000000001</v>
      </c>
      <c r="C36" s="27">
        <v>2.9047999999999998</v>
      </c>
      <c r="D36" s="27"/>
      <c r="E36" s="28">
        <v>8.5</v>
      </c>
      <c r="F36" s="27">
        <v>1.3722000000000001</v>
      </c>
      <c r="G36" s="27">
        <v>1.8307</v>
      </c>
      <c r="H36" s="27"/>
      <c r="I36" s="29">
        <v>49</v>
      </c>
      <c r="J36" s="27">
        <v>2.5100000000000001E-2</v>
      </c>
      <c r="K36" s="27">
        <v>0.81389999999999996</v>
      </c>
    </row>
    <row r="37" spans="1:11" x14ac:dyDescent="0.25">
      <c r="A37" s="26">
        <v>0.5</v>
      </c>
      <c r="B37" s="27">
        <v>2.5758000000000001</v>
      </c>
      <c r="C37" s="27">
        <v>2.8919000000000001</v>
      </c>
      <c r="D37" s="27"/>
      <c r="E37" s="28">
        <v>9</v>
      </c>
      <c r="F37" s="27">
        <v>1.3408</v>
      </c>
      <c r="G37" s="27">
        <v>1.8043</v>
      </c>
      <c r="H37" s="27"/>
      <c r="I37" s="29">
        <v>50</v>
      </c>
      <c r="J37" s="27">
        <v>0</v>
      </c>
      <c r="K37" s="27">
        <v>0.79790000000000005</v>
      </c>
    </row>
    <row r="38" spans="1:11" x14ac:dyDescent="0.25">
      <c r="A38" s="26"/>
      <c r="B38" s="27"/>
      <c r="C38" s="27"/>
      <c r="D38" s="27"/>
      <c r="E38" s="28">
        <v>9.5</v>
      </c>
      <c r="F38" s="27">
        <v>1.3106</v>
      </c>
      <c r="G38" s="27">
        <v>1.7790999999999999</v>
      </c>
      <c r="H38" s="27"/>
      <c r="I38" s="29"/>
      <c r="J38" s="27"/>
      <c r="K38" s="27"/>
    </row>
    <row r="39" spans="1:11" x14ac:dyDescent="0.25">
      <c r="A39" s="26">
        <v>0.5</v>
      </c>
      <c r="B39" s="27">
        <v>2.5758000000000001</v>
      </c>
      <c r="C39" s="27">
        <v>2.8919000000000001</v>
      </c>
      <c r="D39" s="27"/>
      <c r="E39" s="28">
        <v>10</v>
      </c>
      <c r="F39" s="27">
        <v>1.2816000000000001</v>
      </c>
      <c r="G39" s="27">
        <v>1.7549999999999999</v>
      </c>
      <c r="H39" s="27"/>
      <c r="I39" s="29">
        <v>60</v>
      </c>
      <c r="J39" s="27">
        <v>-0.25330000000000003</v>
      </c>
      <c r="K39" s="27">
        <v>0.64390000000000003</v>
      </c>
    </row>
    <row r="40" spans="1:11" x14ac:dyDescent="0.25">
      <c r="A40" s="26">
        <v>0.55000000000000004</v>
      </c>
      <c r="B40" s="27">
        <v>2.5427</v>
      </c>
      <c r="C40" s="27">
        <v>2.8616999999999999</v>
      </c>
      <c r="D40" s="27"/>
      <c r="E40" s="27"/>
      <c r="F40" s="27"/>
      <c r="G40" s="27"/>
      <c r="H40" s="27"/>
      <c r="I40" s="29">
        <v>70</v>
      </c>
      <c r="J40" s="27">
        <v>-0.52439999999999998</v>
      </c>
      <c r="K40" s="27">
        <v>0.49669999999999997</v>
      </c>
    </row>
    <row r="41" spans="1:11" x14ac:dyDescent="0.25">
      <c r="A41" s="26">
        <v>0.6</v>
      </c>
      <c r="B41" s="27">
        <v>2.5121000000000002</v>
      </c>
      <c r="C41" s="27">
        <v>2.8338000000000001</v>
      </c>
      <c r="D41" s="27"/>
      <c r="E41" s="29">
        <v>11</v>
      </c>
      <c r="F41" s="27">
        <v>1.2264999999999999</v>
      </c>
      <c r="G41" s="27">
        <v>1.7094</v>
      </c>
      <c r="H41" s="27"/>
      <c r="I41" s="29">
        <v>80</v>
      </c>
      <c r="J41" s="27">
        <v>-0.84160000000000001</v>
      </c>
      <c r="K41" s="27">
        <v>0.35</v>
      </c>
    </row>
    <row r="42" spans="1:11" x14ac:dyDescent="0.25">
      <c r="A42" s="26">
        <v>0.65</v>
      </c>
      <c r="B42" s="27">
        <v>2.4838</v>
      </c>
      <c r="C42" s="27">
        <v>2.8079999999999998</v>
      </c>
      <c r="D42" s="27"/>
      <c r="E42" s="29">
        <v>12</v>
      </c>
      <c r="F42" s="27">
        <v>1.175</v>
      </c>
      <c r="G42" s="27">
        <v>1.667</v>
      </c>
      <c r="H42" s="27"/>
      <c r="I42" s="29">
        <v>90</v>
      </c>
      <c r="J42" s="27">
        <v>-1.2816000000000001</v>
      </c>
      <c r="K42" s="27">
        <v>0.19500000000000001</v>
      </c>
    </row>
    <row r="43" spans="1:11" x14ac:dyDescent="0.25">
      <c r="A43" s="26">
        <v>0.7</v>
      </c>
      <c r="B43" s="27">
        <v>2.4573</v>
      </c>
      <c r="C43" s="27">
        <v>2.7839</v>
      </c>
      <c r="D43" s="27"/>
      <c r="E43" s="29">
        <v>13</v>
      </c>
      <c r="F43" s="27">
        <v>1.1264000000000001</v>
      </c>
      <c r="G43" s="27">
        <v>1.6273</v>
      </c>
      <c r="H43" s="27"/>
      <c r="I43" s="27"/>
      <c r="J43" s="27"/>
      <c r="K43" s="27"/>
    </row>
    <row r="44" spans="1:11" x14ac:dyDescent="0.25">
      <c r="A44" s="26">
        <v>0.75</v>
      </c>
      <c r="B44" s="27">
        <v>2.4323999999999999</v>
      </c>
      <c r="C44" s="27">
        <v>2.7612000000000001</v>
      </c>
      <c r="D44" s="27"/>
      <c r="E44" s="29">
        <v>14</v>
      </c>
      <c r="F44" s="27">
        <v>1.0803</v>
      </c>
      <c r="G44" s="27">
        <v>1.5898000000000001</v>
      </c>
      <c r="H44" s="27"/>
      <c r="I44" s="27"/>
      <c r="J44" s="27"/>
      <c r="K44" s="27"/>
    </row>
    <row r="45" spans="1:11" x14ac:dyDescent="0.25">
      <c r="A45" s="26">
        <v>0.8</v>
      </c>
      <c r="B45" s="27">
        <v>2.4089</v>
      </c>
      <c r="C45" s="27">
        <v>2.7399</v>
      </c>
      <c r="D45" s="27"/>
      <c r="E45" s="29">
        <v>15</v>
      </c>
      <c r="F45" s="27">
        <v>1.0364</v>
      </c>
      <c r="G45" s="27">
        <v>1.5544</v>
      </c>
      <c r="H45" s="27"/>
      <c r="I45" s="27"/>
      <c r="J45" s="27"/>
      <c r="K45" s="27"/>
    </row>
    <row r="46" spans="1:11" x14ac:dyDescent="0.25">
      <c r="A46" s="26">
        <v>0.85</v>
      </c>
      <c r="B46" s="27">
        <v>2.3866999999999998</v>
      </c>
      <c r="C46" s="27">
        <v>2.7198000000000002</v>
      </c>
      <c r="D46" s="27"/>
      <c r="E46" s="29">
        <v>16</v>
      </c>
      <c r="F46" s="27">
        <v>0.99450000000000005</v>
      </c>
      <c r="G46" s="27">
        <v>1.5206999999999999</v>
      </c>
      <c r="H46" s="27"/>
      <c r="I46" s="27"/>
      <c r="J46" s="27"/>
      <c r="K46" s="27"/>
    </row>
    <row r="47" spans="1:11" x14ac:dyDescent="0.25">
      <c r="A47" s="26">
        <v>0.9</v>
      </c>
      <c r="B47" s="27">
        <v>2.3656000000000001</v>
      </c>
      <c r="C47" s="27">
        <v>2.7006999999999999</v>
      </c>
      <c r="D47" s="27"/>
      <c r="E47" s="29">
        <v>17</v>
      </c>
      <c r="F47" s="27">
        <v>0.95420000000000005</v>
      </c>
      <c r="G47" s="27">
        <v>1.4885999999999999</v>
      </c>
      <c r="H47" s="27"/>
      <c r="I47" s="27"/>
      <c r="J47" s="27"/>
      <c r="K47" s="27"/>
    </row>
    <row r="48" spans="1:11" x14ac:dyDescent="0.25">
      <c r="A48" s="26">
        <v>0.95</v>
      </c>
      <c r="B48" s="27">
        <v>2.3454999999999999</v>
      </c>
      <c r="C48" s="27">
        <v>2.6825000000000001</v>
      </c>
      <c r="D48" s="27"/>
      <c r="E48" s="29">
        <v>18</v>
      </c>
      <c r="F48" s="27">
        <v>0.91539999999999999</v>
      </c>
      <c r="G48" s="27">
        <v>1.4578</v>
      </c>
      <c r="H48" s="27"/>
      <c r="I48" s="27"/>
      <c r="J48" s="27"/>
      <c r="K48" s="27"/>
    </row>
    <row r="49" spans="1:11" x14ac:dyDescent="0.25">
      <c r="A49" s="26">
        <v>1</v>
      </c>
      <c r="B49" s="27">
        <v>2.3262999999999998</v>
      </c>
      <c r="C49" s="27">
        <v>2.6652</v>
      </c>
      <c r="D49" s="27"/>
      <c r="E49" s="29">
        <v>19</v>
      </c>
      <c r="F49" s="27">
        <v>0.87790000000000001</v>
      </c>
      <c r="G49" s="27">
        <v>1.4281999999999999</v>
      </c>
      <c r="H49" s="27"/>
      <c r="I49" s="27"/>
      <c r="J49" s="27"/>
      <c r="K49" s="27"/>
    </row>
  </sheetData>
  <phoneticPr fontId="1" type="noConversion"/>
  <pageMargins left="0.75" right="0.75" top="1" bottom="1" header="0.5" footer="0.5"/>
  <pageSetup paperSize="9" scale="87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J200"/>
  <sheetViews>
    <sheetView zoomScaleNormal="100" workbookViewId="0">
      <selection activeCell="G3" sqref="G3"/>
    </sheetView>
  </sheetViews>
  <sheetFormatPr defaultRowHeight="13.2" x14ac:dyDescent="0.25"/>
  <cols>
    <col min="2" max="2" width="32.5546875" customWidth="1"/>
    <col min="3" max="3" width="7.6640625" customWidth="1"/>
    <col min="4" max="4" width="16.6640625" customWidth="1"/>
    <col min="5" max="5" width="8.33203125" customWidth="1"/>
    <col min="6" max="6" width="6.5546875" customWidth="1"/>
    <col min="10" max="10" width="12.44140625" customWidth="1"/>
    <col min="11" max="11" width="11.44140625" bestFit="1" customWidth="1"/>
  </cols>
  <sheetData>
    <row r="1" spans="1:3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</row>
    <row r="2" spans="1:35" ht="17.399999999999999" x14ac:dyDescent="0.3">
      <c r="A2" s="1"/>
      <c r="B2" s="1"/>
      <c r="C2" s="1"/>
      <c r="D2" s="1"/>
      <c r="E2" s="2"/>
      <c r="F2" s="2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</row>
    <row r="3" spans="1:35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</row>
    <row r="4" spans="1:35" ht="20.399999999999999" x14ac:dyDescent="0.35">
      <c r="A4" s="1"/>
      <c r="B4" s="2" t="s">
        <v>21</v>
      </c>
      <c r="C4" s="2" t="s">
        <v>17</v>
      </c>
      <c r="D4" s="30">
        <v>0.99</v>
      </c>
      <c r="E4" s="2"/>
      <c r="F4" s="2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</row>
    <row r="5" spans="1:35" ht="17.399999999999999" x14ac:dyDescent="0.3">
      <c r="A5" s="1"/>
      <c r="B5" s="1"/>
      <c r="C5" s="1"/>
      <c r="D5" s="11"/>
      <c r="E5" s="1"/>
      <c r="F5" s="2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</row>
    <row r="6" spans="1:35" ht="17.399999999999999" x14ac:dyDescent="0.3">
      <c r="A6" s="1"/>
      <c r="B6" s="1"/>
      <c r="C6" s="1"/>
      <c r="D6" s="12" t="s">
        <v>13</v>
      </c>
      <c r="E6" s="1"/>
      <c r="F6" s="2"/>
      <c r="G6" s="4" t="s">
        <v>14</v>
      </c>
      <c r="H6" s="1"/>
      <c r="I6" s="1"/>
      <c r="J6" s="18">
        <v>50</v>
      </c>
      <c r="K6" s="1"/>
      <c r="L6" s="1"/>
      <c r="M6" s="1"/>
      <c r="N6" s="1"/>
      <c r="O6" s="1"/>
      <c r="P6" s="1"/>
      <c r="Q6" s="1"/>
      <c r="R6" s="1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</row>
    <row r="7" spans="1:35" ht="20.399999999999999" x14ac:dyDescent="0.35">
      <c r="A7" s="1"/>
      <c r="B7" s="2" t="s">
        <v>22</v>
      </c>
      <c r="C7" s="2" t="s">
        <v>18</v>
      </c>
      <c r="D7" s="13">
        <f>-NORMSINV(D4)</f>
        <v>-2.3263478740408408</v>
      </c>
      <c r="E7" s="2"/>
      <c r="F7" s="2"/>
      <c r="G7" s="1" t="s">
        <v>28</v>
      </c>
      <c r="H7" s="1"/>
      <c r="I7" s="1">
        <f>(D4*J6+0.5)/(J6+(J6*D4)/(2*J6))</f>
        <v>0.99019704921279339</v>
      </c>
      <c r="J7" s="11"/>
      <c r="K7" s="1"/>
      <c r="L7" s="1"/>
      <c r="M7" s="1"/>
      <c r="N7" s="1"/>
      <c r="O7" s="1"/>
      <c r="P7" s="1"/>
      <c r="Q7" s="1"/>
      <c r="R7" s="1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</row>
    <row r="8" spans="1:35" ht="17.399999999999999" x14ac:dyDescent="0.3">
      <c r="A8" s="1"/>
      <c r="B8" s="2" t="s">
        <v>23</v>
      </c>
      <c r="C8" s="2" t="s">
        <v>19</v>
      </c>
      <c r="D8" s="14">
        <f>EXP(-0.5*(D7^2))/SQRT(2*PI())</f>
        <v>2.665214220345808E-2</v>
      </c>
      <c r="E8" s="2"/>
      <c r="F8" s="2"/>
      <c r="G8" s="2"/>
      <c r="H8" s="2"/>
      <c r="I8" s="4">
        <f>EXP(-0.5*(-NORMSINV(I7)^2))/SQRT(2*PI())</f>
        <v>2.6193004541180086E-2</v>
      </c>
      <c r="J8" s="20">
        <f>I8/I7</f>
        <v>2.6452315286137767E-2</v>
      </c>
      <c r="K8" s="1">
        <v>0</v>
      </c>
      <c r="L8" s="1"/>
      <c r="M8" s="1"/>
      <c r="N8" s="1"/>
      <c r="O8" s="1"/>
      <c r="P8" s="1"/>
      <c r="Q8" s="1"/>
      <c r="R8" s="1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</row>
    <row r="9" spans="1:35" ht="20.399999999999999" x14ac:dyDescent="0.35">
      <c r="A9" s="1"/>
      <c r="B9" s="2" t="s">
        <v>16</v>
      </c>
      <c r="C9" s="2" t="s">
        <v>20</v>
      </c>
      <c r="D9" s="15">
        <f>D8/D4</f>
        <v>2.6921355761068768E-2</v>
      </c>
      <c r="E9" s="2"/>
      <c r="F9" s="2"/>
      <c r="G9" s="4" t="s">
        <v>15</v>
      </c>
      <c r="H9" s="1"/>
      <c r="I9" s="1"/>
      <c r="J9" s="19">
        <f>D9-(J6-J6*D4)/(2*D4*J6*((J6+1)*D9))</f>
        <v>2.3242881628000617E-2</v>
      </c>
      <c r="K9" s="1"/>
      <c r="L9" s="1"/>
      <c r="M9" s="1"/>
      <c r="N9" s="1"/>
      <c r="O9" s="1"/>
      <c r="P9" s="1"/>
      <c r="Q9" s="1"/>
      <c r="R9" s="1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</row>
    <row r="10" spans="1:35" ht="17.399999999999999" x14ac:dyDescent="0.3">
      <c r="A10" s="1"/>
      <c r="B10" s="2"/>
      <c r="C10" s="2"/>
      <c r="D10" s="14"/>
      <c r="E10" s="2"/>
      <c r="F10" s="2"/>
      <c r="G10" s="1"/>
      <c r="H10" s="1"/>
      <c r="I10" s="1"/>
      <c r="K10" s="1"/>
      <c r="L10" s="1"/>
      <c r="M10" s="1"/>
      <c r="N10" s="1"/>
      <c r="O10" s="1"/>
      <c r="P10" s="1"/>
      <c r="Q10" s="1"/>
      <c r="R10" s="1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</row>
    <row r="11" spans="1:35" ht="17.399999999999999" x14ac:dyDescent="0.3">
      <c r="A11" s="7"/>
      <c r="B11" s="7"/>
      <c r="C11" s="7"/>
      <c r="D11" s="16"/>
      <c r="E11" s="2"/>
      <c r="F11" s="2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</row>
    <row r="12" spans="1:35" ht="17.399999999999999" x14ac:dyDescent="0.3">
      <c r="A12" s="1"/>
      <c r="B12" s="8" t="s">
        <v>3</v>
      </c>
      <c r="C12" s="8" t="s">
        <v>0</v>
      </c>
      <c r="D12" s="14">
        <f>D9*(D9-D7)</f>
        <v>6.3353198137073505E-2</v>
      </c>
      <c r="E12" s="2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5" ht="17.399999999999999" x14ac:dyDescent="0.3">
      <c r="A13" s="1"/>
      <c r="B13" s="2" t="s">
        <v>1</v>
      </c>
      <c r="C13" s="2"/>
      <c r="D13" s="14">
        <f>1-D12</f>
        <v>0.93664680186292648</v>
      </c>
      <c r="E13" s="2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5" ht="17.399999999999999" x14ac:dyDescent="0.3">
      <c r="A14" s="1"/>
      <c r="B14" s="2" t="s">
        <v>2</v>
      </c>
      <c r="C14" s="2"/>
      <c r="D14" s="14">
        <f>(1-D12*C15*C15)</f>
        <v>0.94868390950897041</v>
      </c>
      <c r="E14" s="2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5" ht="17.399999999999999" x14ac:dyDescent="0.3">
      <c r="A15" s="1"/>
      <c r="B15" s="2" t="s">
        <v>24</v>
      </c>
      <c r="C15" s="3">
        <v>0.9</v>
      </c>
      <c r="D15" s="17"/>
      <c r="E15" s="2"/>
      <c r="F15" s="2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</row>
    <row r="16" spans="1:35" ht="17.399999999999999" x14ac:dyDescent="0.3">
      <c r="A16" s="1"/>
      <c r="B16" s="2"/>
      <c r="C16" s="2"/>
      <c r="D16" s="2"/>
      <c r="E16" s="2"/>
      <c r="F16" s="2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</row>
    <row r="17" spans="1:36" ht="17.399999999999999" x14ac:dyDescent="0.3">
      <c r="A17" s="1"/>
      <c r="B17" s="2"/>
      <c r="C17" s="2"/>
      <c r="D17" s="2"/>
      <c r="E17" s="2"/>
      <c r="F17" s="2"/>
      <c r="G17" s="2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</row>
    <row r="18" spans="1:36" ht="17.399999999999999" x14ac:dyDescent="0.3">
      <c r="A18" s="1"/>
      <c r="B18" s="2"/>
      <c r="C18" s="2"/>
      <c r="D18" s="2"/>
      <c r="E18" s="2"/>
      <c r="F18" s="2"/>
      <c r="G18" s="2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</row>
    <row r="19" spans="1:36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</row>
    <row r="20" spans="1:36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</row>
    <row r="21" spans="1:36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</row>
    <row r="22" spans="1:36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</row>
    <row r="23" spans="1:36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</row>
    <row r="24" spans="1:36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</row>
    <row r="25" spans="1:36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</row>
    <row r="26" spans="1:36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</row>
    <row r="27" spans="1:36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</row>
    <row r="28" spans="1:36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</row>
    <row r="29" spans="1:36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</row>
    <row r="30" spans="1:36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</row>
    <row r="31" spans="1:36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</row>
    <row r="32" spans="1:36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</row>
    <row r="33" spans="1:36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</row>
    <row r="34" spans="1:36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</row>
    <row r="35" spans="1:36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</row>
    <row r="36" spans="1:36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</row>
    <row r="37" spans="1:36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</row>
    <row r="38" spans="1:36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</row>
    <row r="39" spans="1:36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</row>
    <row r="40" spans="1:36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</row>
    <row r="41" spans="1:36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</row>
    <row r="42" spans="1:36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</row>
    <row r="43" spans="1:36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</row>
    <row r="44" spans="1:36" x14ac:dyDescent="0.25"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</row>
    <row r="98" spans="1:12" x14ac:dyDescent="0.25">
      <c r="A98" s="5"/>
      <c r="B98" s="5"/>
      <c r="C98" s="5"/>
      <c r="D98" s="5"/>
      <c r="E98" s="5"/>
    </row>
    <row r="99" spans="1:12" x14ac:dyDescent="0.25">
      <c r="A99" s="5"/>
      <c r="B99" s="5"/>
      <c r="C99" s="5"/>
      <c r="D99" s="5"/>
      <c r="E99" s="5"/>
      <c r="H99" t="s">
        <v>26</v>
      </c>
      <c r="I99" t="s">
        <v>27</v>
      </c>
    </row>
    <row r="100" spans="1:12" x14ac:dyDescent="0.25">
      <c r="A100" s="5">
        <v>-3.5</v>
      </c>
      <c r="B100" s="5">
        <v>8.7268269504576015E-4</v>
      </c>
      <c r="C100" s="6">
        <f>D7</f>
        <v>-2.3263478740408408</v>
      </c>
      <c r="D100" s="5">
        <v>0</v>
      </c>
      <c r="E100" s="5"/>
      <c r="H100" t="s">
        <v>25</v>
      </c>
      <c r="I100" t="str">
        <f>CONCATENATE(I99,J6)</f>
        <v>PopSize =50</v>
      </c>
    </row>
    <row r="101" spans="1:12" x14ac:dyDescent="0.25">
      <c r="A101" s="5">
        <v>-3.4</v>
      </c>
      <c r="B101" s="5">
        <v>1.2322191684730199E-3</v>
      </c>
      <c r="C101" s="6">
        <f>D7</f>
        <v>-2.3263478740408408</v>
      </c>
      <c r="D101" s="9">
        <f>VLOOKUP(C101,A100:B170,2,TRUE)-0.01</f>
        <v>1.2394530294842899E-2</v>
      </c>
      <c r="E101" s="5"/>
      <c r="F101">
        <v>1</v>
      </c>
      <c r="G101">
        <v>2.3263478740408408</v>
      </c>
      <c r="H101">
        <v>2.665214220345808</v>
      </c>
      <c r="I101">
        <v>2.301045281172061</v>
      </c>
      <c r="K101">
        <v>4</v>
      </c>
      <c r="L101">
        <v>1.1415957266007766</v>
      </c>
    </row>
    <row r="102" spans="1:12" x14ac:dyDescent="0.25">
      <c r="A102" s="5">
        <v>-3.3</v>
      </c>
      <c r="B102" s="5">
        <v>1.7225689390536812E-3</v>
      </c>
      <c r="C102" s="6">
        <f>D9</f>
        <v>2.6921355761068768E-2</v>
      </c>
      <c r="D102" s="9">
        <v>0</v>
      </c>
      <c r="E102" s="5"/>
      <c r="F102">
        <v>2</v>
      </c>
      <c r="G102">
        <v>2.0537489106318225</v>
      </c>
      <c r="H102">
        <v>2.4209067940371036</v>
      </c>
      <c r="I102">
        <v>2.2224719934714678</v>
      </c>
      <c r="K102">
        <v>8</v>
      </c>
      <c r="L102">
        <v>1.5509810958926211</v>
      </c>
    </row>
    <row r="103" spans="1:12" x14ac:dyDescent="0.25">
      <c r="A103" s="5">
        <v>-3.2</v>
      </c>
      <c r="B103" s="5">
        <v>2.3840882014648404E-3</v>
      </c>
      <c r="C103" s="6">
        <f>D9</f>
        <v>2.6921355761068768E-2</v>
      </c>
      <c r="D103" s="9">
        <f>VLOOKUP(C103,A100:B170,2,TRUE)-0.01</f>
        <v>0.38894228040143269</v>
      </c>
      <c r="E103" s="5"/>
      <c r="F103">
        <v>3</v>
      </c>
      <c r="G103">
        <v>1.8807936081512509</v>
      </c>
      <c r="H103">
        <v>2.2680650472147379</v>
      </c>
      <c r="I103">
        <v>2.1283012144086344</v>
      </c>
      <c r="K103">
        <v>12</v>
      </c>
      <c r="L103">
        <v>1.7084370071587149</v>
      </c>
    </row>
    <row r="104" spans="1:12" x14ac:dyDescent="0.25">
      <c r="A104" s="5">
        <v>-3.1</v>
      </c>
      <c r="B104" s="5">
        <v>3.2668190561999182E-3</v>
      </c>
      <c r="C104" s="5"/>
      <c r="D104" s="5"/>
      <c r="E104" s="5"/>
      <c r="F104">
        <v>4</v>
      </c>
      <c r="G104">
        <v>1.7506860712521695</v>
      </c>
      <c r="H104">
        <v>2.1543443506495339</v>
      </c>
      <c r="I104">
        <v>2.0451259160125095</v>
      </c>
      <c r="K104">
        <v>16</v>
      </c>
      <c r="L104">
        <v>1.7917960190054705</v>
      </c>
    </row>
    <row r="105" spans="1:12" x14ac:dyDescent="0.25">
      <c r="A105" s="5">
        <v>-3</v>
      </c>
      <c r="B105" s="5">
        <v>4.4318484119380075E-3</v>
      </c>
      <c r="C105" s="5"/>
      <c r="D105" s="5"/>
      <c r="E105" s="5"/>
      <c r="F105">
        <v>5</v>
      </c>
      <c r="G105">
        <v>1.6448536269514726</v>
      </c>
      <c r="H105">
        <v>2.0627128075074261</v>
      </c>
      <c r="I105">
        <v>1.9724072113401077</v>
      </c>
      <c r="K105">
        <v>20</v>
      </c>
      <c r="L105">
        <v>1.8433992168153668</v>
      </c>
    </row>
    <row r="106" spans="1:12" x14ac:dyDescent="0.25">
      <c r="A106" s="5">
        <v>-2.9</v>
      </c>
      <c r="B106" s="5">
        <v>5.9525324197758538E-3</v>
      </c>
      <c r="C106" s="5"/>
      <c r="D106" s="5"/>
      <c r="E106" s="5"/>
      <c r="F106">
        <v>6</v>
      </c>
      <c r="G106">
        <v>1.554773594596853</v>
      </c>
      <c r="H106">
        <v>1.9853827532110002</v>
      </c>
      <c r="I106">
        <v>1.9080199520113736</v>
      </c>
      <c r="K106">
        <v>24</v>
      </c>
      <c r="L106">
        <v>1.8784893913260963</v>
      </c>
    </row>
    <row r="107" spans="1:12" x14ac:dyDescent="0.25">
      <c r="A107" s="5">
        <v>-2.8</v>
      </c>
      <c r="B107" s="5">
        <v>7.9154515829799686E-3</v>
      </c>
      <c r="C107" s="5"/>
      <c r="D107" s="5"/>
      <c r="E107" s="5"/>
      <c r="F107">
        <v>7</v>
      </c>
      <c r="G107">
        <v>1.4757910281791702</v>
      </c>
      <c r="H107">
        <v>1.9181130652891667</v>
      </c>
      <c r="I107">
        <v>1.8502066925119707</v>
      </c>
      <c r="K107">
        <v>28</v>
      </c>
      <c r="L107">
        <v>1.9038995176959348</v>
      </c>
    </row>
    <row r="108" spans="1:12" x14ac:dyDescent="0.25">
      <c r="A108" s="5">
        <v>-2.7</v>
      </c>
      <c r="B108" s="5">
        <v>1.0420934814422592E-2</v>
      </c>
      <c r="C108" s="5"/>
      <c r="D108" s="5"/>
      <c r="E108" s="5"/>
      <c r="F108">
        <v>8</v>
      </c>
      <c r="G108">
        <v>1.4050715603096353</v>
      </c>
      <c r="H108">
        <v>1.8583278282706328</v>
      </c>
      <c r="I108">
        <v>1.7976576406298781</v>
      </c>
      <c r="K108">
        <v>32</v>
      </c>
      <c r="L108">
        <v>1.9231496134306612</v>
      </c>
    </row>
    <row r="109" spans="1:12" x14ac:dyDescent="0.25">
      <c r="A109" s="5">
        <v>-2.6</v>
      </c>
      <c r="B109" s="5">
        <v>1.3582969233685613E-2</v>
      </c>
      <c r="C109" s="5"/>
      <c r="D109" s="5"/>
      <c r="E109" s="5"/>
      <c r="F109">
        <v>9</v>
      </c>
      <c r="G109">
        <v>1.3407550336902161</v>
      </c>
      <c r="H109">
        <v>1.8043403091117498</v>
      </c>
      <c r="I109">
        <v>1.7494013711495366</v>
      </c>
      <c r="K109">
        <v>36</v>
      </c>
      <c r="L109">
        <v>1.938237526303825</v>
      </c>
    </row>
    <row r="110" spans="1:12" x14ac:dyDescent="0.25">
      <c r="A110" s="5">
        <v>-2.5</v>
      </c>
      <c r="B110" s="5">
        <v>1.752830049356854E-2</v>
      </c>
      <c r="C110" s="5"/>
      <c r="D110" s="5"/>
      <c r="E110" s="5"/>
      <c r="F110">
        <v>10</v>
      </c>
      <c r="G110">
        <v>1.2815515655446006</v>
      </c>
      <c r="H110">
        <v>1.7549833193248678</v>
      </c>
      <c r="I110">
        <v>1.7047063205944237</v>
      </c>
      <c r="K110">
        <v>40</v>
      </c>
      <c r="L110">
        <v>1.9503814561773469</v>
      </c>
    </row>
    <row r="111" spans="1:12" x14ac:dyDescent="0.25">
      <c r="A111" s="5">
        <v>-2.4</v>
      </c>
      <c r="B111" s="5">
        <v>2.2394530294842899E-2</v>
      </c>
      <c r="C111" s="5"/>
      <c r="D111" s="5"/>
      <c r="E111" s="5"/>
      <c r="F111">
        <v>11</v>
      </c>
      <c r="G111">
        <v>1.2265281200366105</v>
      </c>
      <c r="H111">
        <v>1.7094142455408337</v>
      </c>
      <c r="I111">
        <v>1.6630108425312424</v>
      </c>
      <c r="K111">
        <v>44</v>
      </c>
      <c r="L111">
        <v>1.960366465184465</v>
      </c>
    </row>
    <row r="112" spans="1:12" x14ac:dyDescent="0.25">
      <c r="A112" s="5">
        <v>-2.2999999999999998</v>
      </c>
      <c r="B112" s="5">
        <v>2.8327037741601186E-2</v>
      </c>
      <c r="C112" s="5"/>
      <c r="D112" s="5"/>
      <c r="E112" s="5"/>
      <c r="F112">
        <v>12</v>
      </c>
      <c r="G112">
        <v>1.1749867920660904</v>
      </c>
      <c r="H112">
        <v>1.6670040315808303</v>
      </c>
      <c r="I112">
        <v>1.6238755067095243</v>
      </c>
      <c r="K112">
        <v>48</v>
      </c>
      <c r="L112">
        <v>1.9687212686394007</v>
      </c>
    </row>
    <row r="113" spans="1:12" x14ac:dyDescent="0.25">
      <c r="A113" s="5">
        <v>-2.2000000000000002</v>
      </c>
      <c r="B113" s="5">
        <v>3.5474592846231424E-2</v>
      </c>
      <c r="C113" s="5"/>
      <c r="D113" s="5"/>
      <c r="E113" s="5"/>
      <c r="F113">
        <v>13</v>
      </c>
      <c r="G113">
        <v>1.1263911290388013</v>
      </c>
      <c r="H113">
        <v>1.6272700707275809</v>
      </c>
      <c r="I113">
        <v>1.5869504821671085</v>
      </c>
      <c r="K113">
        <v>52</v>
      </c>
      <c r="L113">
        <v>1.9758149696860441</v>
      </c>
    </row>
    <row r="114" spans="1:12" x14ac:dyDescent="0.25">
      <c r="A114" s="5">
        <v>-2.1</v>
      </c>
      <c r="B114" s="5">
        <v>4.3983595980427191E-2</v>
      </c>
      <c r="C114" s="5"/>
      <c r="D114" s="5"/>
      <c r="E114" s="5"/>
      <c r="F114">
        <v>14</v>
      </c>
      <c r="G114">
        <v>1.0803193408149565</v>
      </c>
      <c r="H114">
        <v>1.58983364361114</v>
      </c>
      <c r="I114">
        <v>1.5519528943403789</v>
      </c>
      <c r="K114">
        <v>56</v>
      </c>
      <c r="L114">
        <v>1.9819130635682463</v>
      </c>
    </row>
    <row r="115" spans="1:12" x14ac:dyDescent="0.25">
      <c r="A115" s="5">
        <v>-2</v>
      </c>
      <c r="B115" s="5">
        <v>5.3990966513188063E-2</v>
      </c>
      <c r="C115" s="5"/>
      <c r="D115" s="5"/>
      <c r="E115" s="5"/>
      <c r="F115">
        <v>15</v>
      </c>
      <c r="G115">
        <v>1.0364333894937898</v>
      </c>
      <c r="H115">
        <v>1.5543918350245483</v>
      </c>
      <c r="I115">
        <v>1.5186508112339296</v>
      </c>
      <c r="K115">
        <v>60</v>
      </c>
      <c r="L115">
        <v>1.9872114074331106</v>
      </c>
    </row>
    <row r="116" spans="1:12" x14ac:dyDescent="0.25">
      <c r="A116" s="5">
        <v>-1.9</v>
      </c>
      <c r="B116" s="5">
        <v>6.5615814774676595E-2</v>
      </c>
      <c r="C116" s="5"/>
      <c r="D116" s="5"/>
      <c r="E116" s="5"/>
      <c r="F116">
        <v>16</v>
      </c>
      <c r="G116">
        <v>0.9944578832097497</v>
      </c>
      <c r="H116">
        <v>1.5206983799084479</v>
      </c>
      <c r="I116">
        <v>1.4868517020166803</v>
      </c>
      <c r="K116">
        <v>64</v>
      </c>
      <c r="L116">
        <v>1.9918576474376839</v>
      </c>
    </row>
    <row r="117" spans="1:12" x14ac:dyDescent="0.25">
      <c r="A117" s="5">
        <v>-1.8</v>
      </c>
      <c r="B117" s="5">
        <v>7.8950158300894149E-2</v>
      </c>
      <c r="C117" s="5"/>
      <c r="D117" s="5"/>
      <c r="E117" s="5"/>
      <c r="F117">
        <v>17</v>
      </c>
      <c r="G117">
        <v>0.95416525314619549</v>
      </c>
      <c r="H117">
        <v>1.4885502259598411</v>
      </c>
      <c r="I117">
        <v>1.4563939678296951</v>
      </c>
      <c r="K117">
        <v>68</v>
      </c>
      <c r="L117">
        <v>1.9959651929489732</v>
      </c>
    </row>
    <row r="118" spans="1:12" x14ac:dyDescent="0.25">
      <c r="A118" s="5">
        <v>-1.7</v>
      </c>
      <c r="B118" s="5">
        <v>9.4049077376886947E-2</v>
      </c>
      <c r="C118" s="5"/>
      <c r="D118" s="5"/>
      <c r="E118" s="5"/>
      <c r="F118">
        <v>18</v>
      </c>
      <c r="G118">
        <v>0.91536508784281501</v>
      </c>
      <c r="H118">
        <v>1.4577778749922989</v>
      </c>
      <c r="I118">
        <v>1.4271406221334382</v>
      </c>
      <c r="K118">
        <v>72</v>
      </c>
      <c r="L118">
        <v>1.9996225964864227</v>
      </c>
    </row>
    <row r="119" spans="1:12" x14ac:dyDescent="0.25">
      <c r="A119" s="5">
        <v>-1.6</v>
      </c>
      <c r="B119" s="5">
        <v>0.11092083467945554</v>
      </c>
      <c r="C119" s="5"/>
      <c r="D119" s="5"/>
      <c r="E119" s="5"/>
      <c r="F119">
        <v>19</v>
      </c>
      <c r="G119">
        <v>0.87789629505122846</v>
      </c>
      <c r="H119">
        <v>1.4282382920574592</v>
      </c>
      <c r="I119">
        <v>1.3989745019272661</v>
      </c>
      <c r="K119">
        <v>76</v>
      </c>
      <c r="L119">
        <v>2.0029000100459555</v>
      </c>
    </row>
    <row r="120" spans="1:12" x14ac:dyDescent="0.25">
      <c r="A120" s="5">
        <v>-1.5</v>
      </c>
      <c r="B120" s="5">
        <v>0.12951759566589174</v>
      </c>
      <c r="C120" s="5"/>
      <c r="D120" s="5"/>
      <c r="E120" s="5"/>
      <c r="F120">
        <v>20</v>
      </c>
      <c r="G120">
        <v>0.84162123357291452</v>
      </c>
      <c r="H120">
        <v>1.3998096020390411</v>
      </c>
      <c r="I120">
        <v>1.3717945875560815</v>
      </c>
      <c r="K120">
        <v>80</v>
      </c>
      <c r="L120">
        <v>2.0058537284391145</v>
      </c>
    </row>
    <row r="121" spans="1:12" x14ac:dyDescent="0.25">
      <c r="A121" s="5">
        <v>-1.4</v>
      </c>
      <c r="B121" s="5">
        <v>0.14972746563574488</v>
      </c>
      <c r="C121" s="5"/>
      <c r="D121" s="5"/>
      <c r="E121" s="5"/>
      <c r="F121">
        <v>21</v>
      </c>
      <c r="G121">
        <v>0.80642124701824058</v>
      </c>
      <c r="H121">
        <v>1.3723870572813548</v>
      </c>
      <c r="I121">
        <v>1.3455131378293446</v>
      </c>
      <c r="K121">
        <v>84</v>
      </c>
      <c r="L121">
        <v>2.008529449807035</v>
      </c>
    </row>
    <row r="122" spans="1:12" x14ac:dyDescent="0.25">
      <c r="A122" s="5">
        <v>-1.3</v>
      </c>
      <c r="B122" s="5">
        <v>0.17136859204780736</v>
      </c>
      <c r="C122" s="5"/>
      <c r="D122" s="5"/>
      <c r="E122" s="5"/>
      <c r="F122">
        <v>22</v>
      </c>
      <c r="G122">
        <v>0.77219321418868503</v>
      </c>
      <c r="H122">
        <v>1.3458799262504508</v>
      </c>
      <c r="I122">
        <v>1.3200534334030483</v>
      </c>
      <c r="K122">
        <v>88</v>
      </c>
      <c r="L122">
        <v>2.0109646568946928</v>
      </c>
    </row>
    <row r="123" spans="1:12" x14ac:dyDescent="0.25">
      <c r="A123" s="5">
        <v>-1.2</v>
      </c>
      <c r="B123" s="5">
        <v>0.19418605498321295</v>
      </c>
      <c r="C123" s="5"/>
      <c r="D123" s="5"/>
      <c r="E123" s="5"/>
      <c r="F123">
        <v>23</v>
      </c>
      <c r="G123">
        <v>0.73884684918521393</v>
      </c>
      <c r="H123">
        <v>1.3202090609680401</v>
      </c>
      <c r="I123">
        <v>1.2953479799829875</v>
      </c>
      <c r="K123">
        <v>92</v>
      </c>
      <c r="L123">
        <v>2.0131903838027676</v>
      </c>
    </row>
    <row r="124" spans="1:12" x14ac:dyDescent="0.25">
      <c r="A124" s="5">
        <v>-1.1000000000000001</v>
      </c>
      <c r="B124" s="5">
        <v>0.21785217703255053</v>
      </c>
      <c r="C124" s="5"/>
      <c r="D124" s="5"/>
      <c r="E124" s="5"/>
      <c r="F124">
        <v>24</v>
      </c>
      <c r="G124">
        <v>0.7063025628400873</v>
      </c>
      <c r="H124">
        <v>1.2953049723348571</v>
      </c>
      <c r="I124">
        <v>1.2713370633890393</v>
      </c>
      <c r="K124">
        <v>96</v>
      </c>
      <c r="L124">
        <v>2.0152325456050217</v>
      </c>
    </row>
    <row r="125" spans="1:12" x14ac:dyDescent="0.25">
      <c r="A125" s="5">
        <v>-1</v>
      </c>
      <c r="B125" s="5">
        <v>0.24197072451914337</v>
      </c>
      <c r="C125" s="5"/>
      <c r="D125" s="5"/>
      <c r="E125" s="5"/>
      <c r="F125">
        <v>25</v>
      </c>
      <c r="G125">
        <v>0.67448975019608193</v>
      </c>
      <c r="H125">
        <v>1.2711062907364277</v>
      </c>
      <c r="I125">
        <v>1.2479675769087726</v>
      </c>
      <c r="K125">
        <v>100</v>
      </c>
      <c r="L125">
        <v>2.0171129520169981</v>
      </c>
    </row>
    <row r="126" spans="1:12" x14ac:dyDescent="0.25">
      <c r="A126" s="5">
        <v>-0.9</v>
      </c>
      <c r="B126" s="5">
        <v>0.26608524989875482</v>
      </c>
      <c r="C126" s="5"/>
      <c r="D126" s="5"/>
      <c r="E126" s="5"/>
      <c r="F126">
        <v>26</v>
      </c>
      <c r="G126">
        <v>0.64334540539291696</v>
      </c>
      <c r="H126">
        <v>1.2475585225935539</v>
      </c>
      <c r="I126">
        <v>1.2251920615621861</v>
      </c>
      <c r="K126">
        <v>104</v>
      </c>
      <c r="L126">
        <v>2.0188500893690144</v>
      </c>
    </row>
    <row r="127" spans="1:12" x14ac:dyDescent="0.25">
      <c r="A127" s="5">
        <v>-0.8</v>
      </c>
      <c r="B127" s="5">
        <v>0.28969155276148273</v>
      </c>
      <c r="C127" s="5"/>
      <c r="D127" s="5"/>
      <c r="E127" s="5"/>
      <c r="F127">
        <v>27</v>
      </c>
      <c r="G127">
        <v>0.61281299101662734</v>
      </c>
      <c r="H127">
        <v>1.224613036840148</v>
      </c>
      <c r="I127">
        <v>1.2029679144557628</v>
      </c>
      <c r="K127">
        <v>108</v>
      </c>
      <c r="L127">
        <v>2.0204597304016163</v>
      </c>
    </row>
    <row r="128" spans="1:12" x14ac:dyDescent="0.25">
      <c r="A128" s="5">
        <v>-0.7</v>
      </c>
      <c r="B128" s="5">
        <v>0.31225393336676127</v>
      </c>
      <c r="C128" s="5"/>
      <c r="D128" s="5"/>
      <c r="E128" s="5"/>
      <c r="F128">
        <v>28</v>
      </c>
      <c r="G128">
        <v>0.58284150727121631</v>
      </c>
      <c r="H128">
        <v>1.2022262319129329</v>
      </c>
      <c r="I128">
        <v>1.1812567310283113</v>
      </c>
      <c r="K128">
        <v>112</v>
      </c>
      <c r="L128">
        <v>2.0219554145469547</v>
      </c>
    </row>
    <row r="129" spans="1:12" x14ac:dyDescent="0.25">
      <c r="A129" s="5">
        <v>-0.6</v>
      </c>
      <c r="B129" s="5">
        <v>0.33322460289179967</v>
      </c>
      <c r="C129" s="5"/>
      <c r="D129" s="5"/>
      <c r="E129" s="5"/>
      <c r="F129">
        <v>29</v>
      </c>
      <c r="G129">
        <v>0.55338471955567303</v>
      </c>
      <c r="H129">
        <v>1.1803588458252467</v>
      </c>
      <c r="I129">
        <v>1.1600237548357719</v>
      </c>
      <c r="K129">
        <v>116</v>
      </c>
      <c r="L129">
        <v>2.0233488296909026</v>
      </c>
    </row>
    <row r="130" spans="1:12" x14ac:dyDescent="0.25">
      <c r="A130" s="5">
        <v>-0.5</v>
      </c>
      <c r="B130" s="5">
        <v>0.35206532676429952</v>
      </c>
      <c r="C130" s="5"/>
      <c r="D130" s="5"/>
      <c r="E130" s="5"/>
      <c r="F130">
        <v>30</v>
      </c>
      <c r="G130">
        <v>0.52440051270804089</v>
      </c>
      <c r="H130">
        <v>1.1589753806669127</v>
      </c>
      <c r="I130">
        <v>1.1392374143778441</v>
      </c>
      <c r="K130">
        <v>120</v>
      </c>
      <c r="L130">
        <v>2.0246501182137631</v>
      </c>
    </row>
    <row r="131" spans="1:12" x14ac:dyDescent="0.25">
      <c r="A131" s="5">
        <v>-0.4</v>
      </c>
      <c r="B131" s="5">
        <v>0.36827014030332333</v>
      </c>
      <c r="C131" s="5"/>
      <c r="D131" s="5"/>
      <c r="E131" s="5"/>
      <c r="F131">
        <v>31</v>
      </c>
      <c r="G131">
        <v>0.49585034734745354</v>
      </c>
      <c r="H131">
        <v>1.1380436193652121</v>
      </c>
      <c r="I131">
        <v>1.118868930884704</v>
      </c>
      <c r="K131">
        <v>124</v>
      </c>
      <c r="L131">
        <v>2.02586812427116</v>
      </c>
    </row>
    <row r="132" spans="1:12" x14ac:dyDescent="0.25">
      <c r="A132" s="5">
        <v>-0.3</v>
      </c>
      <c r="B132" s="5">
        <v>0.38138781546052414</v>
      </c>
      <c r="C132" s="5"/>
      <c r="D132" s="5"/>
      <c r="E132" s="5"/>
      <c r="F132">
        <v>32</v>
      </c>
      <c r="G132">
        <v>0.46769879911450829</v>
      </c>
      <c r="H132">
        <v>1.1175342174033343</v>
      </c>
      <c r="I132">
        <v>1.098891984343356</v>
      </c>
      <c r="K132">
        <v>128</v>
      </c>
      <c r="L132">
        <v>2.0270105950691839</v>
      </c>
    </row>
    <row r="133" spans="1:12" x14ac:dyDescent="0.25">
      <c r="A133" s="5">
        <v>-0.2</v>
      </c>
      <c r="B133" s="5">
        <v>0.39104269397545588</v>
      </c>
      <c r="C133" s="5"/>
      <c r="D133" s="5"/>
      <c r="E133" s="5"/>
      <c r="F133">
        <v>33</v>
      </c>
      <c r="G133">
        <v>0.43991316567323374</v>
      </c>
      <c r="H133">
        <v>1.0974203558700348</v>
      </c>
      <c r="I133">
        <v>1.0792824276247939</v>
      </c>
      <c r="K133">
        <v>132</v>
      </c>
      <c r="L133">
        <v>2.0280843458192064</v>
      </c>
    </row>
    <row r="134" spans="1:12" x14ac:dyDescent="0.25">
      <c r="A134" s="5">
        <v>-0.1</v>
      </c>
      <c r="B134" s="5">
        <v>0.39695254747701181</v>
      </c>
      <c r="C134" s="5"/>
      <c r="D134" s="5"/>
      <c r="E134" s="5"/>
      <c r="F134">
        <v>34</v>
      </c>
      <c r="G134">
        <v>0.41246312944140484</v>
      </c>
      <c r="H134">
        <v>1.0776774450228859</v>
      </c>
      <c r="I134">
        <v>1.0600180405726907</v>
      </c>
      <c r="K134">
        <v>136</v>
      </c>
      <c r="L134">
        <v>2.0290953957955047</v>
      </c>
    </row>
    <row r="135" spans="1:12" x14ac:dyDescent="0.25">
      <c r="A135" s="5">
        <v>0</v>
      </c>
      <c r="B135" s="5">
        <v>0.3989422804014327</v>
      </c>
      <c r="C135" s="5"/>
      <c r="D135" s="5"/>
      <c r="E135" s="5"/>
      <c r="F135">
        <v>35</v>
      </c>
      <c r="G135">
        <v>0.38532046640756784</v>
      </c>
      <c r="H135">
        <v>1.0582828697119018</v>
      </c>
      <c r="I135">
        <v>1.0410783174751999</v>
      </c>
      <c r="K135">
        <v>140</v>
      </c>
      <c r="L135">
        <v>2.0300490812341407</v>
      </c>
    </row>
    <row r="136" spans="1:12" x14ac:dyDescent="0.25">
      <c r="A136" s="5">
        <v>0.1</v>
      </c>
      <c r="B136" s="5">
        <v>0.39695254747701181</v>
      </c>
      <c r="C136" s="5"/>
      <c r="D136" s="5"/>
      <c r="E136" s="5"/>
      <c r="F136">
        <v>36</v>
      </c>
      <c r="G136">
        <v>0.35845879325119384</v>
      </c>
      <c r="H136">
        <v>1.0392157696923163</v>
      </c>
      <c r="I136">
        <v>1.0224442825689612</v>
      </c>
      <c r="K136">
        <v>144</v>
      </c>
      <c r="L136">
        <v>2.0309501495451281</v>
      </c>
    </row>
    <row r="137" spans="1:12" x14ac:dyDescent="0.25">
      <c r="A137" s="5">
        <v>0.2</v>
      </c>
      <c r="B137" s="5">
        <v>0.39104269397545588</v>
      </c>
      <c r="C137" s="5"/>
      <c r="D137" s="5"/>
      <c r="E137" s="5"/>
      <c r="F137">
        <v>37</v>
      </c>
      <c r="G137">
        <v>0.33185334643681658</v>
      </c>
      <c r="H137">
        <v>1.0204568491726616</v>
      </c>
      <c r="I137">
        <v>1.0040983291965142</v>
      </c>
      <c r="K137">
        <v>148</v>
      </c>
      <c r="L137">
        <v>2.0318028383494848</v>
      </c>
    </row>
    <row r="138" spans="1:12" x14ac:dyDescent="0.25">
      <c r="A138" s="5">
        <v>0.3</v>
      </c>
      <c r="B138" s="5">
        <v>0.38138781546052414</v>
      </c>
      <c r="C138" s="5"/>
      <c r="D138" s="5"/>
      <c r="E138" s="5"/>
      <c r="F138">
        <v>38</v>
      </c>
      <c r="G138">
        <v>0.30548078809939727</v>
      </c>
      <c r="H138">
        <v>1.0019882109836886</v>
      </c>
      <c r="I138">
        <v>0.98602407901319367</v>
      </c>
      <c r="K138">
        <v>152</v>
      </c>
      <c r="L138">
        <v>2.0326109421183198</v>
      </c>
    </row>
    <row r="139" spans="1:12" x14ac:dyDescent="0.25">
      <c r="A139" s="5">
        <v>0.4</v>
      </c>
      <c r="B139" s="5">
        <v>0.36827014030332333</v>
      </c>
      <c r="C139" s="5"/>
      <c r="D139" s="5"/>
      <c r="E139" s="5"/>
      <c r="F139">
        <v>39</v>
      </c>
      <c r="G139">
        <v>0.27931903444745415</v>
      </c>
      <c r="H139">
        <v>0.98379321157944966</v>
      </c>
      <c r="I139">
        <v>0.96820625826114837</v>
      </c>
      <c r="K139">
        <v>156</v>
      </c>
      <c r="L139">
        <v>2.033377868625049</v>
      </c>
    </row>
    <row r="140" spans="1:12" x14ac:dyDescent="0.25">
      <c r="A140" s="5">
        <v>0.5</v>
      </c>
      <c r="B140" s="5">
        <v>0.35206532676429952</v>
      </c>
      <c r="C140" s="5"/>
      <c r="D140" s="5"/>
      <c r="E140" s="5"/>
      <c r="F140">
        <v>40</v>
      </c>
      <c r="G140">
        <v>0.25334710313579978</v>
      </c>
      <c r="H140">
        <v>0.9658563337421513</v>
      </c>
      <c r="I140">
        <v>0.95063058862955874</v>
      </c>
      <c r="K140">
        <v>160</v>
      </c>
      <c r="L140">
        <v>2.034106686982375</v>
      </c>
    </row>
    <row r="141" spans="1:12" x14ac:dyDescent="0.25">
      <c r="A141" s="5">
        <v>0.6</v>
      </c>
      <c r="B141" s="5">
        <v>0.33322460289179967</v>
      </c>
      <c r="C141" s="5"/>
      <c r="D141" s="5"/>
      <c r="E141" s="5"/>
      <c r="F141">
        <v>41</v>
      </c>
      <c r="G141">
        <v>0.2275449766411495</v>
      </c>
      <c r="H141">
        <v>0.94816307439362357</v>
      </c>
      <c r="I141">
        <v>0.9332836906269486</v>
      </c>
      <c r="K141">
        <v>164</v>
      </c>
      <c r="L141">
        <v>2.0348001686920729</v>
      </c>
    </row>
    <row r="142" spans="1:12" x14ac:dyDescent="0.25">
      <c r="A142" s="5">
        <v>0.7</v>
      </c>
      <c r="B142" s="5">
        <v>0.31225393336676127</v>
      </c>
      <c r="C142" s="5"/>
      <c r="D142" s="5"/>
      <c r="E142" s="5"/>
      <c r="F142">
        <v>42</v>
      </c>
      <c r="G142">
        <v>0.20189347914185088</v>
      </c>
      <c r="H142">
        <v>0.93069984534607997</v>
      </c>
      <c r="I142">
        <v>0.91615299772322245</v>
      </c>
      <c r="K142">
        <v>168</v>
      </c>
      <c r="L142">
        <v>2.0354608228652178</v>
      </c>
    </row>
    <row r="143" spans="1:12" x14ac:dyDescent="0.25">
      <c r="A143" s="5">
        <v>0.8</v>
      </c>
      <c r="B143" s="5">
        <v>0.28969155276148273</v>
      </c>
      <c r="C143" s="5"/>
      <c r="D143" s="5"/>
      <c r="E143" s="5"/>
      <c r="F143">
        <v>43</v>
      </c>
      <c r="G143">
        <v>0.17637416478086138</v>
      </c>
      <c r="H143">
        <v>0.91345388517449777</v>
      </c>
      <c r="I143">
        <v>0.89922667979089033</v>
      </c>
      <c r="K143">
        <v>172</v>
      </c>
      <c r="L143">
        <v>2.0360909265563669</v>
      </c>
    </row>
    <row r="144" spans="1:12" x14ac:dyDescent="0.25">
      <c r="A144" s="5">
        <v>0.9</v>
      </c>
      <c r="B144" s="5">
        <v>0.26608524989875482</v>
      </c>
      <c r="C144" s="5"/>
      <c r="D144" s="5"/>
      <c r="E144" s="5"/>
      <c r="F144">
        <v>44</v>
      </c>
      <c r="G144">
        <v>0.15096921549677725</v>
      </c>
      <c r="H144">
        <v>0.89641318067883935</v>
      </c>
      <c r="I144">
        <v>0.88249357459872557</v>
      </c>
      <c r="K144">
        <v>176</v>
      </c>
      <c r="L144">
        <v>2.0366925509846396</v>
      </c>
    </row>
    <row r="145" spans="1:12" x14ac:dyDescent="0.25">
      <c r="A145" s="5">
        <v>1</v>
      </c>
      <c r="B145" s="5">
        <v>0.24197072451914337</v>
      </c>
      <c r="C145" s="5"/>
      <c r="D145" s="5"/>
      <c r="E145" s="5"/>
      <c r="F145">
        <v>45</v>
      </c>
      <c r="G145">
        <v>0.12566134685507402</v>
      </c>
      <c r="H145">
        <v>0.87956639663914826</v>
      </c>
      <c r="I145">
        <v>0.8659431262960724</v>
      </c>
      <c r="K145">
        <v>180</v>
      </c>
      <c r="L145">
        <v>2.0372675842779606</v>
      </c>
    </row>
    <row r="146" spans="1:12" x14ac:dyDescent="0.25">
      <c r="A146" s="5">
        <v>1.1000000000000001</v>
      </c>
      <c r="B146" s="5">
        <v>0.21785217703255053</v>
      </c>
      <c r="C146" s="5"/>
      <c r="D146" s="5"/>
      <c r="E146" s="5"/>
      <c r="F146">
        <v>46</v>
      </c>
      <c r="G146">
        <v>0.10043372051146976</v>
      </c>
      <c r="H146">
        <v>0.86290281276028913</v>
      </c>
      <c r="I146">
        <v>0.84956532997954082</v>
      </c>
      <c r="K146">
        <v>184</v>
      </c>
      <c r="L146">
        <v>2.0378177512667057</v>
      </c>
    </row>
    <row r="147" spans="1:12" x14ac:dyDescent="0.25">
      <c r="A147" s="5">
        <v>1.2</v>
      </c>
      <c r="B147" s="5">
        <v>0.19418605498321295</v>
      </c>
      <c r="C147" s="5"/>
      <c r="D147" s="5"/>
      <c r="E147" s="5"/>
      <c r="F147">
        <v>47</v>
      </c>
      <c r="G147">
        <v>7.5269862099829901E-2</v>
      </c>
      <c r="H147">
        <v>0.84641226686353743</v>
      </c>
      <c r="I147">
        <v>0.83335068156165604</v>
      </c>
      <c r="K147">
        <v>188</v>
      </c>
      <c r="L147">
        <v>2.0383446307638642</v>
      </c>
    </row>
    <row r="148" spans="1:12" x14ac:dyDescent="0.25">
      <c r="A148" s="5">
        <v>1.3</v>
      </c>
      <c r="B148" s="5">
        <v>0.17136859204780736</v>
      </c>
      <c r="C148" s="5"/>
      <c r="D148" s="5"/>
      <c r="E148" s="5"/>
      <c r="F148">
        <v>48</v>
      </c>
      <c r="G148">
        <v>5.0153583464733656E-2</v>
      </c>
      <c r="H148">
        <v>0.83008510351558962</v>
      </c>
      <c r="I148">
        <v>0.81729013226782499</v>
      </c>
      <c r="K148">
        <v>192</v>
      </c>
      <c r="L148">
        <v>2.038849670696373</v>
      </c>
    </row>
    <row r="149" spans="1:12" x14ac:dyDescent="0.25">
      <c r="A149" s="5">
        <v>1.4</v>
      </c>
      <c r="B149" s="5">
        <v>0.14972746563574488</v>
      </c>
      <c r="C149" s="5"/>
      <c r="D149" s="5"/>
      <c r="E149" s="5"/>
      <c r="F149">
        <v>49</v>
      </c>
      <c r="G149">
        <v>2.506890825871106E-2</v>
      </c>
      <c r="H149">
        <v>0.81391212739673757</v>
      </c>
      <c r="I149">
        <v>0.80137504717741415</v>
      </c>
      <c r="K149">
        <v>196</v>
      </c>
      <c r="L149">
        <v>2.0393342013930442</v>
      </c>
    </row>
    <row r="150" spans="1:12" x14ac:dyDescent="0.25">
      <c r="A150" s="5">
        <v>1.5</v>
      </c>
      <c r="B150" s="5">
        <v>0.12951759566589174</v>
      </c>
      <c r="C150" s="5"/>
      <c r="D150" s="5"/>
      <c r="E150" s="5"/>
      <c r="F150">
        <v>50</v>
      </c>
      <c r="G150">
        <v>0</v>
      </c>
      <c r="H150">
        <v>0.79788456080286541</v>
      </c>
      <c r="I150">
        <v>0.78559716729977225</v>
      </c>
      <c r="K150">
        <v>200</v>
      </c>
      <c r="L150">
        <v>2.0397994472858678</v>
      </c>
    </row>
    <row r="151" spans="1:12" x14ac:dyDescent="0.25">
      <c r="A151" s="5">
        <v>1.6</v>
      </c>
      <c r="B151" s="5">
        <v>0.11092083467945554</v>
      </c>
      <c r="C151" s="5"/>
      <c r="D151" s="5"/>
      <c r="E151" s="5"/>
      <c r="F151">
        <v>51</v>
      </c>
      <c r="G151">
        <v>-2.506890825871106E-2</v>
      </c>
      <c r="H151">
        <v>0.78199400475372827</v>
      </c>
      <c r="I151">
        <v>0.76994857473908418</v>
      </c>
    </row>
    <row r="152" spans="1:12" x14ac:dyDescent="0.25">
      <c r="A152" s="5">
        <v>1.7</v>
      </c>
      <c r="B152" s="5">
        <v>9.4049077376886947E-2</v>
      </c>
      <c r="C152" s="5"/>
      <c r="D152" s="5"/>
      <c r="E152" s="5"/>
      <c r="F152">
        <v>52</v>
      </c>
      <c r="G152">
        <v>-5.0153583464733656E-2</v>
      </c>
      <c r="H152">
        <v>0.76623240324515962</v>
      </c>
      <c r="I152">
        <v>0.75442166055491533</v>
      </c>
    </row>
    <row r="153" spans="1:12" x14ac:dyDescent="0.25">
      <c r="A153" s="5">
        <v>1.8</v>
      </c>
      <c r="B153" s="5">
        <v>7.8950158300894149E-2</v>
      </c>
      <c r="C153" s="5"/>
      <c r="D153" s="5"/>
      <c r="E153" s="5"/>
      <c r="F153">
        <v>53</v>
      </c>
      <c r="G153">
        <v>-7.5269862099829901E-2</v>
      </c>
      <c r="H153">
        <v>0.75059201023747646</v>
      </c>
      <c r="I153">
        <v>0.7390090949697703</v>
      </c>
    </row>
    <row r="154" spans="1:12" x14ac:dyDescent="0.25">
      <c r="A154" s="5">
        <v>1.9</v>
      </c>
      <c r="B154" s="5">
        <v>6.5615814774676595E-2</v>
      </c>
      <c r="C154" s="5"/>
      <c r="D154" s="5"/>
      <c r="E154" s="5"/>
      <c r="F154">
        <v>54</v>
      </c>
      <c r="G154">
        <v>-0.10043372051146988</v>
      </c>
      <c r="H154">
        <v>0.73506535901802406</v>
      </c>
      <c r="I154">
        <v>0.72370379961220144</v>
      </c>
    </row>
    <row r="155" spans="1:12" x14ac:dyDescent="0.25">
      <c r="A155" s="5">
        <v>2.0000000000000102</v>
      </c>
      <c r="B155" s="5">
        <v>5.3990966513186953E-2</v>
      </c>
      <c r="C155" s="5"/>
      <c r="D155" s="5"/>
      <c r="E155" s="5"/>
      <c r="F155">
        <v>55</v>
      </c>
      <c r="G155">
        <v>-0.12566134685507416</v>
      </c>
      <c r="H155">
        <v>0.71964523361384858</v>
      </c>
      <c r="I155">
        <v>0.70849892151496829</v>
      </c>
    </row>
    <row r="156" spans="1:12" x14ac:dyDescent="0.25">
      <c r="A156" s="5">
        <v>2.1</v>
      </c>
      <c r="B156" s="5">
        <v>4.3983595980427191E-2</v>
      </c>
      <c r="C156" s="5"/>
      <c r="D156" s="5"/>
      <c r="E156" s="5"/>
      <c r="F156">
        <v>56</v>
      </c>
      <c r="G156">
        <v>-0.15096921549677741</v>
      </c>
      <c r="H156">
        <v>0.70432464196194522</v>
      </c>
      <c r="I156">
        <v>0.69338780861328442</v>
      </c>
    </row>
    <row r="157" spans="1:12" x14ac:dyDescent="0.25">
      <c r="A157" s="5">
        <v>2.2000000000000002</v>
      </c>
      <c r="B157" s="5">
        <v>3.5474592846231424E-2</v>
      </c>
      <c r="C157" s="5"/>
      <c r="D157" s="5"/>
      <c r="E157" s="5"/>
      <c r="F157">
        <v>57</v>
      </c>
      <c r="G157">
        <v>-0.17637416478086121</v>
      </c>
      <c r="H157">
        <v>0.68909679057023521</v>
      </c>
      <c r="I157">
        <v>0.67836398650891727</v>
      </c>
    </row>
    <row r="158" spans="1:12" x14ac:dyDescent="0.25">
      <c r="A158" s="5">
        <v>2.30000000000001</v>
      </c>
      <c r="B158" s="5">
        <v>2.8327037741600516E-2</v>
      </c>
      <c r="C158" s="5"/>
      <c r="D158" s="5"/>
      <c r="E158" s="5"/>
      <c r="F158">
        <v>58</v>
      </c>
      <c r="G158">
        <v>-0.20189347914185077</v>
      </c>
      <c r="H158">
        <v>0.67395506042302344</v>
      </c>
      <c r="I158">
        <v>0.66342113628233357</v>
      </c>
    </row>
    <row r="159" spans="1:12" x14ac:dyDescent="0.25">
      <c r="A159" s="5">
        <v>2.4000000000000101</v>
      </c>
      <c r="B159" s="5">
        <v>2.2394530294842355E-2</v>
      </c>
      <c r="C159" s="5"/>
      <c r="D159" s="5"/>
      <c r="E159" s="5"/>
      <c r="F159">
        <v>59</v>
      </c>
      <c r="G159">
        <v>-0.22754497664114934</v>
      </c>
      <c r="H159">
        <v>0.65889298390065376</v>
      </c>
      <c r="I159">
        <v>0.64855307314754063</v>
      </c>
    </row>
    <row r="160" spans="1:12" x14ac:dyDescent="0.25">
      <c r="A160" s="5">
        <v>2.5000000000000102</v>
      </c>
      <c r="B160" s="5">
        <v>1.7528300493568086E-2</v>
      </c>
      <c r="C160" s="5"/>
      <c r="D160" s="5"/>
      <c r="E160" s="5"/>
      <c r="F160">
        <v>60</v>
      </c>
      <c r="G160">
        <v>-0.25334710313579978</v>
      </c>
      <c r="H160">
        <v>0.64390422249476764</v>
      </c>
      <c r="I160">
        <v>0.63375372575303923</v>
      </c>
    </row>
    <row r="161" spans="1:9" x14ac:dyDescent="0.25">
      <c r="A161" s="5">
        <v>2.6</v>
      </c>
      <c r="B161" s="5">
        <v>1.3582969233685613E-2</v>
      </c>
      <c r="C161" s="5"/>
      <c r="D161" s="5"/>
      <c r="E161" s="5"/>
      <c r="F161">
        <v>61</v>
      </c>
      <c r="G161">
        <v>-0.27931903444745415</v>
      </c>
      <c r="H161">
        <v>0.62898254510817275</v>
      </c>
      <c r="I161">
        <v>0.61901711593745556</v>
      </c>
    </row>
    <row r="162" spans="1:9" x14ac:dyDescent="0.25">
      <c r="A162" s="5">
        <v>2.7000000000000099</v>
      </c>
      <c r="B162" s="5">
        <v>1.0420934814422318E-2</v>
      </c>
      <c r="C162" s="5"/>
      <c r="D162" s="5"/>
      <c r="E162" s="5"/>
      <c r="F162">
        <v>62</v>
      </c>
      <c r="G162">
        <v>-0.30548078809939727</v>
      </c>
      <c r="H162">
        <v>0.61412180673193828</v>
      </c>
      <c r="I162">
        <v>0.60433733875002205</v>
      </c>
    </row>
    <row r="163" spans="1:9" x14ac:dyDescent="0.25">
      <c r="A163" s="5">
        <v>2.80000000000001</v>
      </c>
      <c r="B163" s="5">
        <v>7.915451582979743E-3</v>
      </c>
      <c r="C163" s="5"/>
      <c r="D163" s="5"/>
      <c r="E163" s="5"/>
      <c r="F163">
        <v>63</v>
      </c>
      <c r="G163">
        <v>-0.33185334643681658</v>
      </c>
      <c r="H163">
        <v>0.59931592729188055</v>
      </c>
      <c r="I163">
        <v>0.58970854254398453</v>
      </c>
    </row>
    <row r="164" spans="1:9" x14ac:dyDescent="0.25">
      <c r="A164" s="5">
        <v>2.9000000000000101</v>
      </c>
      <c r="B164" s="5">
        <v>5.9525324197756795E-3</v>
      </c>
      <c r="C164" s="5"/>
      <c r="D164" s="5"/>
      <c r="E164" s="5"/>
      <c r="F164">
        <v>64</v>
      </c>
      <c r="G164">
        <v>-0.35845879325119384</v>
      </c>
      <c r="H164">
        <v>0.58455887045192789</v>
      </c>
      <c r="I164">
        <v>0.57512490894504076</v>
      </c>
    </row>
    <row r="165" spans="1:9" x14ac:dyDescent="0.25">
      <c r="A165" s="5">
        <v>3.0000000000000102</v>
      </c>
      <c r="B165" s="5">
        <v>4.431848411937874E-3</v>
      </c>
      <c r="C165" s="5"/>
      <c r="D165" s="5"/>
      <c r="E165" s="5"/>
      <c r="F165">
        <v>65</v>
      </c>
      <c r="G165">
        <v>-0.38532046640756784</v>
      </c>
      <c r="H165">
        <v>0.56984462215256237</v>
      </c>
      <c r="I165">
        <v>0.56058063248664591</v>
      </c>
    </row>
    <row r="166" spans="1:9" x14ac:dyDescent="0.25">
      <c r="A166" s="5">
        <v>3.1000000000000099</v>
      </c>
      <c r="B166" s="5">
        <v>3.2668190561998202E-3</v>
      </c>
      <c r="C166" s="5"/>
      <c r="D166" s="5"/>
      <c r="E166" s="5"/>
      <c r="F166">
        <v>66</v>
      </c>
      <c r="G166">
        <v>-0.41246312944140473</v>
      </c>
      <c r="H166">
        <v>0.55516716864815341</v>
      </c>
      <c r="I166">
        <v>0.54606989968896191</v>
      </c>
    </row>
    <row r="167" spans="1:9" x14ac:dyDescent="0.25">
      <c r="A167" s="5">
        <v>3.2000000000000099</v>
      </c>
      <c r="B167" s="5">
        <v>2.3840882014647662E-3</v>
      </c>
      <c r="C167" s="5"/>
      <c r="D167" s="5"/>
      <c r="E167" s="5"/>
      <c r="F167">
        <v>67</v>
      </c>
      <c r="G167">
        <v>-0.43991316567323396</v>
      </c>
      <c r="H167">
        <v>0.54052047378673351</v>
      </c>
      <c r="I167">
        <v>0.53158686733758498</v>
      </c>
    </row>
    <row r="168" spans="1:9" x14ac:dyDescent="0.25">
      <c r="A168" s="5">
        <v>3.30000000000001</v>
      </c>
      <c r="B168" s="5">
        <v>1.7225689390536229E-3</v>
      </c>
      <c r="C168" s="5"/>
      <c r="D168" s="5"/>
      <c r="E168" s="5"/>
      <c r="F168">
        <v>68</v>
      </c>
      <c r="G168">
        <v>-0.46769879911450835</v>
      </c>
      <c r="H168">
        <v>0.52589845524862788</v>
      </c>
      <c r="I168">
        <v>0.51712563969099112</v>
      </c>
    </row>
    <row r="169" spans="1:9" x14ac:dyDescent="0.25">
      <c r="A169" s="5">
        <v>3.4000000000000101</v>
      </c>
      <c r="B169" s="5">
        <v>1.2322191684729772E-3</v>
      </c>
      <c r="C169" s="5"/>
      <c r="D169" s="5"/>
      <c r="E169" s="5"/>
      <c r="F169">
        <v>69</v>
      </c>
      <c r="G169">
        <v>-0.49585034734745331</v>
      </c>
      <c r="H169">
        <v>0.5112949594249504</v>
      </c>
      <c r="I169">
        <v>0.50268024431051928</v>
      </c>
    </row>
    <row r="170" spans="1:9" x14ac:dyDescent="0.25">
      <c r="A170" s="5">
        <v>3.5000000000000102</v>
      </c>
      <c r="B170" s="5">
        <v>8.7268269504572915E-4</v>
      </c>
      <c r="C170" s="5"/>
      <c r="D170" s="5"/>
      <c r="E170" s="5"/>
      <c r="F170">
        <v>70</v>
      </c>
      <c r="G170">
        <v>-0.52440051270804078</v>
      </c>
      <c r="H170">
        <v>0.49670373457153405</v>
      </c>
      <c r="I170">
        <v>0.48824460616193321</v>
      </c>
    </row>
    <row r="171" spans="1:9" x14ac:dyDescent="0.25">
      <c r="A171" s="5"/>
      <c r="B171" s="5"/>
      <c r="C171" s="5"/>
      <c r="D171" s="5"/>
      <c r="E171" s="5"/>
      <c r="F171">
        <v>71</v>
      </c>
      <c r="G171">
        <v>-0.5533847195556727</v>
      </c>
      <c r="H171">
        <v>0.48211840181594595</v>
      </c>
      <c r="I171">
        <v>0.47381251958080833</v>
      </c>
    </row>
    <row r="172" spans="1:9" x14ac:dyDescent="0.25">
      <c r="F172">
        <v>72</v>
      </c>
      <c r="G172">
        <v>-0.58284150727121631</v>
      </c>
      <c r="H172">
        <v>0.46753242352169616</v>
      </c>
      <c r="I172">
        <v>0.45937761762212115</v>
      </c>
    </row>
    <row r="173" spans="1:9" x14ac:dyDescent="0.25">
      <c r="F173">
        <v>73</v>
      </c>
      <c r="G173">
        <v>-0.61281299101662734</v>
      </c>
      <c r="H173">
        <v>0.45293906842032877</v>
      </c>
      <c r="I173">
        <v>0.44493333822336439</v>
      </c>
    </row>
    <row r="174" spans="1:9" x14ac:dyDescent="0.25">
      <c r="F174">
        <v>74</v>
      </c>
      <c r="G174">
        <v>-0.64334540539291696</v>
      </c>
      <c r="H174">
        <v>0.43833137280314061</v>
      </c>
      <c r="I174">
        <v>0.43047288649482213</v>
      </c>
    </row>
    <row r="175" spans="1:9" x14ac:dyDescent="0.25">
      <c r="F175">
        <v>75</v>
      </c>
      <c r="G175">
        <v>-0.67448975019608193</v>
      </c>
      <c r="H175">
        <v>0.42370209691214256</v>
      </c>
      <c r="I175">
        <v>0.41598919230292419</v>
      </c>
    </row>
    <row r="176" spans="1:9" x14ac:dyDescent="0.25">
      <c r="F176">
        <v>76</v>
      </c>
      <c r="G176">
        <v>-0.7063025628400873</v>
      </c>
      <c r="H176">
        <v>0.40904367547416537</v>
      </c>
      <c r="I176">
        <v>0.40147486212285449</v>
      </c>
    </row>
    <row r="177" spans="6:9" x14ac:dyDescent="0.25">
      <c r="F177">
        <v>77</v>
      </c>
      <c r="G177">
        <v>-0.73884684918521393</v>
      </c>
      <c r="H177">
        <v>0.39434816106837567</v>
      </c>
      <c r="I177">
        <v>0.38692212389102232</v>
      </c>
    </row>
    <row r="178" spans="6:9" x14ac:dyDescent="0.25">
      <c r="F178">
        <v>78</v>
      </c>
      <c r="G178">
        <v>-0.77219321418868503</v>
      </c>
      <c r="H178">
        <v>0.37960715868602463</v>
      </c>
      <c r="I178">
        <v>0.37232276326752645</v>
      </c>
    </row>
    <row r="179" spans="6:9" x14ac:dyDescent="0.25">
      <c r="F179">
        <v>79</v>
      </c>
      <c r="G179">
        <v>-0.80642124701824058</v>
      </c>
      <c r="H179">
        <v>0.36481174940390443</v>
      </c>
      <c r="I179">
        <v>0.35766804929640805</v>
      </c>
    </row>
    <row r="180" spans="6:9" x14ac:dyDescent="0.25">
      <c r="F180">
        <v>80</v>
      </c>
      <c r="G180">
        <v>-0.84162123357291474</v>
      </c>
      <c r="H180">
        <v>0.34995240050976023</v>
      </c>
      <c r="I180">
        <v>0.34294864688902033</v>
      </c>
    </row>
    <row r="181" spans="6:9" x14ac:dyDescent="0.25">
      <c r="F181">
        <v>81</v>
      </c>
      <c r="G181">
        <v>-0.87789629505122857</v>
      </c>
      <c r="H181">
        <v>0.33501885863076203</v>
      </c>
      <c r="I181">
        <v>0.32815451279775376</v>
      </c>
    </row>
    <row r="182" spans="6:9" x14ac:dyDescent="0.25">
      <c r="F182">
        <v>82</v>
      </c>
      <c r="G182">
        <v>-0.91536508784281256</v>
      </c>
      <c r="H182">
        <v>0.32000002133977368</v>
      </c>
      <c r="I182">
        <v>0.31327477071221888</v>
      </c>
    </row>
    <row r="183" spans="6:9" x14ac:dyDescent="0.25">
      <c r="F183">
        <v>83</v>
      </c>
      <c r="G183">
        <v>-0.95416525314619549</v>
      </c>
      <c r="H183">
        <v>0.30488378122069038</v>
      </c>
      <c r="I183">
        <v>0.29829755967596172</v>
      </c>
    </row>
    <row r="184" spans="6:9" x14ac:dyDescent="0.25">
      <c r="F184">
        <v>84</v>
      </c>
      <c r="G184">
        <v>-0.9944578832097497</v>
      </c>
      <c r="H184">
        <v>0.28965683426827582</v>
      </c>
      <c r="I184">
        <v>0.28320984800317722</v>
      </c>
    </row>
    <row r="185" spans="6:9" x14ac:dyDescent="0.25">
      <c r="F185">
        <v>85</v>
      </c>
      <c r="G185">
        <v>-1.0364333894937898</v>
      </c>
      <c r="H185">
        <v>0.27430444147492028</v>
      </c>
      <c r="I185">
        <v>0.26799720198245819</v>
      </c>
    </row>
    <row r="186" spans="6:9" x14ac:dyDescent="0.25">
      <c r="F186">
        <v>86</v>
      </c>
      <c r="G186">
        <v>-1.0803193408149565</v>
      </c>
      <c r="H186">
        <v>0.25881012802972048</v>
      </c>
      <c r="I186">
        <v>0.25264349442750356</v>
      </c>
    </row>
    <row r="187" spans="6:9" x14ac:dyDescent="0.25">
      <c r="F187">
        <v>87</v>
      </c>
      <c r="G187">
        <v>-1.1263911290388013</v>
      </c>
      <c r="H187">
        <v>0.24315529792481094</v>
      </c>
      <c r="I187">
        <v>0.2371305318180737</v>
      </c>
    </row>
    <row r="188" spans="6:9" x14ac:dyDescent="0.25">
      <c r="F188">
        <v>88</v>
      </c>
      <c r="G188">
        <v>-1.1749867920660904</v>
      </c>
      <c r="H188">
        <v>0.22731873157920413</v>
      </c>
      <c r="I188">
        <v>0.2214375690967533</v>
      </c>
    </row>
    <row r="189" spans="6:9" x14ac:dyDescent="0.25">
      <c r="F189">
        <v>89</v>
      </c>
      <c r="G189">
        <v>-1.2265281200366105</v>
      </c>
      <c r="H189">
        <v>0.21127591798819292</v>
      </c>
      <c r="I189">
        <v>0.20554066593082773</v>
      </c>
    </row>
    <row r="190" spans="6:9" x14ac:dyDescent="0.25">
      <c r="F190">
        <v>90</v>
      </c>
      <c r="G190">
        <v>-1.2815515655446006</v>
      </c>
      <c r="H190">
        <v>0.19499814659165199</v>
      </c>
      <c r="I190">
        <v>0.1894118133993804</v>
      </c>
    </row>
    <row r="191" spans="6:9" x14ac:dyDescent="0.25">
      <c r="F191">
        <v>91</v>
      </c>
      <c r="G191">
        <v>-1.3407550336902161</v>
      </c>
      <c r="H191">
        <v>0.17845123936270052</v>
      </c>
      <c r="I191">
        <v>0.17301771802577834</v>
      </c>
    </row>
    <row r="192" spans="6:9" x14ac:dyDescent="0.25">
      <c r="F192">
        <v>92</v>
      </c>
      <c r="G192">
        <v>-1.4050715603096329</v>
      </c>
      <c r="H192">
        <v>0.16159372419744689</v>
      </c>
      <c r="I192">
        <v>0.15631805570694648</v>
      </c>
    </row>
    <row r="193" spans="6:9" x14ac:dyDescent="0.25">
      <c r="F193">
        <v>93</v>
      </c>
      <c r="G193">
        <v>-1.4757910281791713</v>
      </c>
      <c r="H193">
        <v>0.14437410168843165</v>
      </c>
      <c r="I193">
        <v>0.13926286932885776</v>
      </c>
    </row>
    <row r="194" spans="6:9" x14ac:dyDescent="0.25">
      <c r="F194">
        <v>94</v>
      </c>
      <c r="G194">
        <v>-1.5547735945968528</v>
      </c>
      <c r="H194">
        <v>0.12672655871559577</v>
      </c>
      <c r="I194">
        <v>0.12178850757519406</v>
      </c>
    </row>
    <row r="195" spans="6:9" x14ac:dyDescent="0.25">
      <c r="F195">
        <v>95</v>
      </c>
      <c r="G195">
        <v>-1.6448536269514715</v>
      </c>
      <c r="H195">
        <v>0.10856383197407529</v>
      </c>
      <c r="I195">
        <v>0.10381090586000591</v>
      </c>
    </row>
    <row r="196" spans="6:9" x14ac:dyDescent="0.25">
      <c r="F196">
        <v>96</v>
      </c>
      <c r="G196">
        <v>-1.7506860712521695</v>
      </c>
      <c r="H196">
        <v>8.9764347943730588E-2</v>
      </c>
      <c r="I196">
        <v>8.521357983385458E-2</v>
      </c>
    </row>
    <row r="197" spans="6:9" x14ac:dyDescent="0.25">
      <c r="F197">
        <v>97</v>
      </c>
      <c r="G197">
        <v>-1.8807936081512504</v>
      </c>
      <c r="H197">
        <v>7.0146341666435269E-2</v>
      </c>
      <c r="I197">
        <v>6.5823748899236201E-2</v>
      </c>
    </row>
    <row r="198" spans="6:9" x14ac:dyDescent="0.25">
      <c r="F198">
        <v>98</v>
      </c>
      <c r="G198">
        <v>-2.0537489106318221</v>
      </c>
      <c r="H198">
        <v>4.9406261102798082E-2</v>
      </c>
      <c r="I198">
        <v>4.5356571295336136E-2</v>
      </c>
    </row>
    <row r="199" spans="6:9" x14ac:dyDescent="0.25">
      <c r="F199">
        <v>99</v>
      </c>
      <c r="G199">
        <v>-2.3263478740408408</v>
      </c>
      <c r="H199">
        <v>2.6921355761068768E-2</v>
      </c>
      <c r="I199">
        <v>2.3242881628000617E-2</v>
      </c>
    </row>
    <row r="200" spans="6:9" x14ac:dyDescent="0.25">
      <c r="F200">
        <v>100</v>
      </c>
      <c r="G200" t="e">
        <v>#NUM!</v>
      </c>
      <c r="H200" t="e">
        <v>#NUM!</v>
      </c>
    </row>
  </sheetData>
  <sheetProtection selectLockedCells="1"/>
  <pageMargins left="0.75" right="0.75" top="1" bottom="1" header="0.5" footer="0.5"/>
  <pageSetup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J172"/>
  <sheetViews>
    <sheetView tabSelected="1" zoomScale="130" zoomScaleNormal="130" workbookViewId="0">
      <selection activeCell="G18" sqref="G18"/>
    </sheetView>
  </sheetViews>
  <sheetFormatPr defaultRowHeight="13.2" x14ac:dyDescent="0.25"/>
  <cols>
    <col min="2" max="2" width="32.5546875" customWidth="1"/>
    <col min="3" max="3" width="7.6640625" customWidth="1"/>
    <col min="4" max="4" width="16.6640625" customWidth="1"/>
    <col min="5" max="5" width="8.33203125" customWidth="1"/>
    <col min="6" max="6" width="6.5546875" customWidth="1"/>
    <col min="7" max="7" width="19.88671875" customWidth="1"/>
    <col min="11" max="11" width="11.44140625" bestFit="1" customWidth="1"/>
  </cols>
  <sheetData>
    <row r="1" spans="1:3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</row>
    <row r="2" spans="1:35" ht="17.399999999999999" x14ac:dyDescent="0.3">
      <c r="A2" s="1"/>
      <c r="B2" s="1"/>
      <c r="C2" s="1"/>
      <c r="D2" s="1"/>
      <c r="E2" s="2"/>
      <c r="F2" s="2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</row>
    <row r="3" spans="1:35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</row>
    <row r="4" spans="1:35" ht="20.399999999999999" x14ac:dyDescent="0.35">
      <c r="A4" s="1"/>
      <c r="B4" s="2" t="s">
        <v>21</v>
      </c>
      <c r="C4" s="2" t="s">
        <v>17</v>
      </c>
      <c r="D4" s="10">
        <v>0.5</v>
      </c>
      <c r="E4" s="2"/>
      <c r="F4" s="2"/>
      <c r="G4" s="4" t="s">
        <v>34</v>
      </c>
      <c r="H4" s="1"/>
      <c r="I4" s="33">
        <f>H5*H6*H7</f>
        <v>200</v>
      </c>
      <c r="K4" s="1"/>
      <c r="L4" s="1"/>
      <c r="M4" s="1"/>
      <c r="N4" s="1"/>
      <c r="O4" s="1"/>
      <c r="P4" s="1"/>
      <c r="Q4" s="1"/>
      <c r="R4" s="1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</row>
    <row r="5" spans="1:35" ht="17.399999999999999" x14ac:dyDescent="0.3">
      <c r="A5" s="1"/>
      <c r="B5" s="1"/>
      <c r="C5" s="1"/>
      <c r="D5" s="11"/>
      <c r="E5" s="1"/>
      <c r="F5" s="2"/>
      <c r="G5" s="21" t="s">
        <v>33</v>
      </c>
      <c r="H5" s="18">
        <v>10</v>
      </c>
      <c r="I5" s="21"/>
      <c r="J5" s="1"/>
      <c r="K5" s="1"/>
      <c r="L5" s="1"/>
      <c r="M5" s="1"/>
      <c r="N5" s="1"/>
      <c r="O5" s="1"/>
      <c r="P5" s="1"/>
      <c r="Q5" s="1"/>
      <c r="R5" s="1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</row>
    <row r="6" spans="1:35" ht="17.399999999999999" x14ac:dyDescent="0.3">
      <c r="A6" s="1"/>
      <c r="B6" s="1"/>
      <c r="C6" s="1"/>
      <c r="D6" s="12" t="s">
        <v>13</v>
      </c>
      <c r="E6" s="1"/>
      <c r="F6" s="2"/>
      <c r="G6" s="22" t="s">
        <v>36</v>
      </c>
      <c r="H6" s="18">
        <v>5</v>
      </c>
      <c r="I6" s="1"/>
      <c r="J6" s="11"/>
      <c r="K6" s="1"/>
      <c r="L6" s="1"/>
      <c r="M6" s="1"/>
      <c r="N6" s="1"/>
      <c r="O6" s="1"/>
      <c r="P6" s="1"/>
      <c r="Q6" s="1"/>
      <c r="R6" s="1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</row>
    <row r="7" spans="1:35" ht="17.399999999999999" x14ac:dyDescent="0.3">
      <c r="A7" s="1"/>
      <c r="B7" s="1"/>
      <c r="C7" s="1"/>
      <c r="D7" s="12"/>
      <c r="E7" s="1"/>
      <c r="F7" s="2"/>
      <c r="G7" s="34" t="s">
        <v>35</v>
      </c>
      <c r="H7" s="18">
        <v>4</v>
      </c>
      <c r="I7" s="1"/>
      <c r="J7" s="11"/>
      <c r="K7" s="1"/>
      <c r="L7" s="1"/>
      <c r="M7" s="1"/>
      <c r="N7" s="1"/>
      <c r="O7" s="1"/>
      <c r="P7" s="1"/>
      <c r="Q7" s="1"/>
      <c r="R7" s="1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</row>
    <row r="8" spans="1:35" ht="20.399999999999999" x14ac:dyDescent="0.35">
      <c r="A8" s="1"/>
      <c r="B8" s="2" t="s">
        <v>22</v>
      </c>
      <c r="C8" s="2" t="s">
        <v>18</v>
      </c>
      <c r="D8" s="13">
        <f>-NORMSINV(D4)</f>
        <v>0</v>
      </c>
      <c r="E8" s="2"/>
      <c r="F8" s="2"/>
      <c r="G8" s="1" t="s">
        <v>29</v>
      </c>
      <c r="H8" s="31">
        <v>0.62078389025898062</v>
      </c>
      <c r="I8" s="1"/>
      <c r="J8" s="11"/>
      <c r="K8" s="1"/>
      <c r="L8" s="1"/>
      <c r="M8" s="1"/>
      <c r="N8" s="1"/>
      <c r="O8" s="1"/>
      <c r="P8" s="1"/>
      <c r="Q8" s="1"/>
      <c r="R8" s="1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</row>
    <row r="9" spans="1:35" ht="17.399999999999999" x14ac:dyDescent="0.3">
      <c r="A9" s="1"/>
      <c r="B9" s="2" t="s">
        <v>23</v>
      </c>
      <c r="C9" s="2" t="s">
        <v>19</v>
      </c>
      <c r="D9" s="14">
        <f>EXP(-0.5*(D8^2))/SQRT(2*PI())</f>
        <v>0.3989422804014327</v>
      </c>
      <c r="E9" s="2"/>
      <c r="F9" s="2"/>
      <c r="G9" s="21" t="s">
        <v>30</v>
      </c>
      <c r="H9" s="32">
        <v>0.41462833813194383</v>
      </c>
      <c r="I9" s="2"/>
      <c r="J9" s="17"/>
      <c r="K9" s="1"/>
      <c r="L9" s="1"/>
      <c r="M9" s="1"/>
      <c r="N9" s="1"/>
      <c r="O9" s="1"/>
      <c r="P9" s="1"/>
      <c r="Q9" s="1"/>
      <c r="R9" s="1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</row>
    <row r="10" spans="1:35" ht="20.399999999999999" x14ac:dyDescent="0.35">
      <c r="A10" s="1"/>
      <c r="B10" s="2" t="s">
        <v>16</v>
      </c>
      <c r="C10" s="2" t="s">
        <v>20</v>
      </c>
      <c r="D10" s="15">
        <f>D9/D4</f>
        <v>0.79788456080286541</v>
      </c>
      <c r="E10" s="2"/>
      <c r="F10" s="2"/>
      <c r="G10" s="4" t="s">
        <v>15</v>
      </c>
      <c r="H10" s="1"/>
      <c r="I10" s="1"/>
      <c r="J10" s="15">
        <f>D10-(I4-I4*D4)/(2*D4*I4*((I4+1)*D10))</f>
        <v>0.79476686394387164</v>
      </c>
      <c r="K10" s="1"/>
      <c r="L10" s="1"/>
      <c r="M10" s="1"/>
      <c r="N10" s="1"/>
      <c r="O10" s="1"/>
      <c r="P10" s="1"/>
      <c r="Q10" s="1"/>
      <c r="R10" s="1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</row>
    <row r="11" spans="1:35" ht="17.399999999999999" x14ac:dyDescent="0.3">
      <c r="A11" s="1"/>
      <c r="B11" s="2"/>
      <c r="C11" s="2"/>
      <c r="D11" s="14"/>
      <c r="E11" s="2"/>
      <c r="F11" s="2"/>
      <c r="G11" s="1"/>
      <c r="H11" s="21"/>
      <c r="I11" s="1"/>
      <c r="K11" s="1"/>
      <c r="L11" s="1"/>
      <c r="M11" s="1"/>
      <c r="N11" s="1"/>
      <c r="O11" s="1"/>
      <c r="P11" s="1"/>
      <c r="Q11" s="1"/>
      <c r="R11" s="1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</row>
    <row r="12" spans="1:35" ht="17.399999999999999" x14ac:dyDescent="0.3">
      <c r="A12" s="7"/>
      <c r="B12" s="7"/>
      <c r="C12" s="7"/>
      <c r="D12" s="7"/>
      <c r="E12" s="2"/>
      <c r="F12" s="2"/>
      <c r="G12" s="21" t="s">
        <v>31</v>
      </c>
      <c r="H12" s="1">
        <f>(H8*(H7-1)+H9*H7*(H6-1))/(H7*H5*H6-1)</f>
        <v>4.2695502919035386E-2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</row>
    <row r="13" spans="1:35" ht="20.399999999999999" x14ac:dyDescent="0.35">
      <c r="A13" s="7"/>
      <c r="B13" s="7"/>
      <c r="C13" s="7"/>
      <c r="D13" s="7"/>
      <c r="E13" s="2"/>
      <c r="F13" s="1"/>
      <c r="G13" s="4" t="s">
        <v>32</v>
      </c>
      <c r="H13" s="1"/>
      <c r="I13" s="1"/>
      <c r="J13" s="15">
        <f>SQRT(1-H12)*J10</f>
        <v>0.77761530791865308</v>
      </c>
      <c r="K13" s="1"/>
      <c r="L13" s="1"/>
      <c r="M13" s="1"/>
      <c r="N13" s="1"/>
      <c r="O13" s="1"/>
      <c r="P13" s="1"/>
      <c r="Q13" s="1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5" ht="17.399999999999999" x14ac:dyDescent="0.3">
      <c r="A14" s="7"/>
      <c r="B14" s="7"/>
      <c r="C14" s="7"/>
      <c r="D14" s="7"/>
      <c r="E14" s="2"/>
      <c r="F14" s="2"/>
      <c r="G14" s="2"/>
      <c r="H14" s="2"/>
      <c r="I14" s="2"/>
      <c r="J14" s="2"/>
      <c r="K14" s="2"/>
      <c r="L14" s="2"/>
      <c r="M14" s="1"/>
      <c r="N14" s="1"/>
      <c r="O14" s="1"/>
      <c r="P14" s="1"/>
      <c r="Q14" s="1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5" ht="17.399999999999999" x14ac:dyDescent="0.3">
      <c r="A15" s="7"/>
      <c r="B15" s="7"/>
      <c r="C15" s="7"/>
      <c r="D15" s="7"/>
      <c r="E15" s="2"/>
      <c r="F15" s="2"/>
      <c r="G15" s="2"/>
      <c r="H15" s="2"/>
      <c r="I15" s="2"/>
      <c r="J15" s="2"/>
      <c r="K15" s="2"/>
      <c r="L15" s="2"/>
      <c r="M15" s="1"/>
      <c r="N15" s="1"/>
      <c r="O15" s="1"/>
      <c r="P15" s="1"/>
      <c r="Q15" s="1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5" ht="17.399999999999999" x14ac:dyDescent="0.3">
      <c r="A16" s="7"/>
      <c r="B16" s="7"/>
      <c r="C16" s="7"/>
      <c r="D16" s="7"/>
      <c r="E16" s="2"/>
      <c r="F16" s="2"/>
      <c r="G16" s="2"/>
      <c r="H16" s="2"/>
      <c r="I16" s="2"/>
      <c r="J16" s="2"/>
      <c r="K16" s="2"/>
      <c r="L16" s="2"/>
      <c r="M16" s="1"/>
      <c r="N16" s="1"/>
      <c r="O16" s="1"/>
      <c r="P16" s="1"/>
      <c r="Q16" s="1"/>
      <c r="R16" s="1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</row>
    <row r="17" spans="1:36" ht="17.399999999999999" x14ac:dyDescent="0.3">
      <c r="A17" s="1"/>
      <c r="B17" s="7"/>
      <c r="C17" s="2"/>
      <c r="D17" s="2"/>
      <c r="E17" s="2"/>
      <c r="F17" s="2"/>
      <c r="G17" s="2"/>
      <c r="H17" s="2"/>
      <c r="I17" s="2"/>
      <c r="J17" s="2"/>
      <c r="K17" s="2"/>
      <c r="L17" s="2"/>
      <c r="M17" s="1"/>
      <c r="N17" s="1"/>
      <c r="O17" s="1"/>
      <c r="P17" s="1"/>
      <c r="Q17" s="1"/>
      <c r="R17" s="1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</row>
    <row r="18" spans="1:36" ht="17.399999999999999" x14ac:dyDescent="0.3">
      <c r="A18" s="1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1"/>
      <c r="N18" s="1"/>
      <c r="O18" s="1"/>
      <c r="P18" s="1"/>
      <c r="Q18" s="1"/>
      <c r="R18" s="1"/>
      <c r="S18" s="1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</row>
    <row r="19" spans="1:36" ht="17.399999999999999" x14ac:dyDescent="0.3">
      <c r="A19" s="1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1"/>
      <c r="N19" s="1"/>
      <c r="O19" s="1"/>
      <c r="P19" s="1"/>
      <c r="Q19" s="1"/>
      <c r="R19" s="1"/>
      <c r="S19" s="1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</row>
    <row r="20" spans="1:36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</row>
    <row r="21" spans="1:36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</row>
    <row r="22" spans="1:36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</row>
    <row r="23" spans="1:36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</row>
    <row r="24" spans="1:36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</row>
    <row r="25" spans="1:36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</row>
    <row r="26" spans="1:36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</row>
    <row r="27" spans="1:36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</row>
    <row r="28" spans="1:36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</row>
    <row r="29" spans="1:36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</row>
    <row r="30" spans="1:36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</row>
    <row r="31" spans="1:36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</row>
    <row r="32" spans="1:36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</row>
    <row r="33" spans="1:36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</row>
    <row r="34" spans="1:36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</row>
    <row r="35" spans="1:36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</row>
    <row r="36" spans="1:36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</row>
    <row r="37" spans="1:36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</row>
    <row r="38" spans="1:36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</row>
    <row r="39" spans="1:36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</row>
    <row r="40" spans="1:36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</row>
    <row r="41" spans="1:36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</row>
    <row r="42" spans="1:36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</row>
    <row r="43" spans="1:36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</row>
    <row r="44" spans="1:36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</row>
    <row r="45" spans="1:36" x14ac:dyDescent="0.25"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</row>
    <row r="99" spans="1:5" x14ac:dyDescent="0.25">
      <c r="A99" s="5"/>
      <c r="B99" s="5"/>
      <c r="C99" s="5"/>
      <c r="D99" s="5"/>
      <c r="E99" s="5"/>
    </row>
    <row r="100" spans="1:5" x14ac:dyDescent="0.25">
      <c r="A100" s="5"/>
      <c r="B100" s="5"/>
      <c r="C100" s="5"/>
      <c r="D100" s="5"/>
      <c r="E100" s="5"/>
    </row>
    <row r="101" spans="1:5" x14ac:dyDescent="0.25">
      <c r="A101" s="5">
        <v>-3.5</v>
      </c>
      <c r="B101" s="5">
        <v>8.7268269504576015E-4</v>
      </c>
      <c r="C101" s="6">
        <f>D8</f>
        <v>0</v>
      </c>
      <c r="D101" s="5">
        <v>0</v>
      </c>
      <c r="E101" s="5"/>
    </row>
    <row r="102" spans="1:5" x14ac:dyDescent="0.25">
      <c r="A102" s="5">
        <v>-3.4</v>
      </c>
      <c r="B102" s="5">
        <v>1.2322191684730199E-3</v>
      </c>
      <c r="C102" s="6">
        <f>D8</f>
        <v>0</v>
      </c>
      <c r="D102" s="9">
        <f>VLOOKUP(C102,A101:B171,2,TRUE)-0.01</f>
        <v>0.38894228040143269</v>
      </c>
      <c r="E102" s="5"/>
    </row>
    <row r="103" spans="1:5" x14ac:dyDescent="0.25">
      <c r="A103" s="5">
        <v>-3.3</v>
      </c>
      <c r="B103" s="5">
        <v>1.7225689390536812E-3</v>
      </c>
      <c r="C103" s="6">
        <f>D10</f>
        <v>0.79788456080286541</v>
      </c>
      <c r="D103" s="9">
        <v>0</v>
      </c>
      <c r="E103" s="5"/>
    </row>
    <row r="104" spans="1:5" x14ac:dyDescent="0.25">
      <c r="A104" s="5">
        <v>-3.2</v>
      </c>
      <c r="B104" s="5">
        <v>2.3840882014648404E-3</v>
      </c>
      <c r="C104" s="6">
        <f>D10</f>
        <v>0.79788456080286541</v>
      </c>
      <c r="D104" s="9">
        <f>VLOOKUP(C104,A101:B171,2,TRUE)-0.01</f>
        <v>0.30225393336676126</v>
      </c>
      <c r="E104" s="5"/>
    </row>
    <row r="105" spans="1:5" x14ac:dyDescent="0.25">
      <c r="A105" s="5">
        <v>-3.1</v>
      </c>
      <c r="B105" s="5">
        <v>3.2668190561999182E-3</v>
      </c>
      <c r="C105" s="5"/>
      <c r="D105" s="5"/>
      <c r="E105" s="5"/>
    </row>
    <row r="106" spans="1:5" x14ac:dyDescent="0.25">
      <c r="A106" s="5">
        <v>-3</v>
      </c>
      <c r="B106" s="5">
        <v>4.4318484119380075E-3</v>
      </c>
      <c r="C106" s="5"/>
      <c r="D106" s="5"/>
      <c r="E106" s="5"/>
    </row>
    <row r="107" spans="1:5" x14ac:dyDescent="0.25">
      <c r="A107" s="5">
        <v>-2.9</v>
      </c>
      <c r="B107" s="5">
        <v>5.9525324197758538E-3</v>
      </c>
      <c r="C107" s="5"/>
      <c r="D107" s="5"/>
      <c r="E107" s="5"/>
    </row>
    <row r="108" spans="1:5" x14ac:dyDescent="0.25">
      <c r="A108" s="5">
        <v>-2.8</v>
      </c>
      <c r="B108" s="5">
        <v>7.9154515829799686E-3</v>
      </c>
      <c r="C108" s="5"/>
      <c r="D108" s="5"/>
      <c r="E108" s="5"/>
    </row>
    <row r="109" spans="1:5" x14ac:dyDescent="0.25">
      <c r="A109" s="5">
        <v>-2.7</v>
      </c>
      <c r="B109" s="5">
        <v>1.0420934814422592E-2</v>
      </c>
      <c r="C109" s="5"/>
      <c r="D109" s="5"/>
      <c r="E109" s="5"/>
    </row>
    <row r="110" spans="1:5" x14ac:dyDescent="0.25">
      <c r="A110" s="5">
        <v>-2.6</v>
      </c>
      <c r="B110" s="5">
        <v>1.3582969233685613E-2</v>
      </c>
      <c r="C110" s="5"/>
      <c r="D110" s="5"/>
      <c r="E110" s="5"/>
    </row>
    <row r="111" spans="1:5" x14ac:dyDescent="0.25">
      <c r="A111" s="5">
        <v>-2.5</v>
      </c>
      <c r="B111" s="5">
        <v>1.752830049356854E-2</v>
      </c>
      <c r="C111" s="5"/>
      <c r="D111" s="5"/>
      <c r="E111" s="5"/>
    </row>
    <row r="112" spans="1:5" x14ac:dyDescent="0.25">
      <c r="A112" s="5">
        <v>-2.4</v>
      </c>
      <c r="B112" s="5">
        <v>2.2394530294842899E-2</v>
      </c>
      <c r="C112" s="5"/>
      <c r="D112" s="5"/>
      <c r="E112" s="5"/>
    </row>
    <row r="113" spans="1:5" x14ac:dyDescent="0.25">
      <c r="A113" s="5">
        <v>-2.2999999999999998</v>
      </c>
      <c r="B113" s="5">
        <v>2.8327037741601186E-2</v>
      </c>
      <c r="C113" s="5"/>
      <c r="D113" s="5"/>
      <c r="E113" s="5"/>
    </row>
    <row r="114" spans="1:5" x14ac:dyDescent="0.25">
      <c r="A114" s="5">
        <v>-2.2000000000000002</v>
      </c>
      <c r="B114" s="5">
        <v>3.5474592846231424E-2</v>
      </c>
      <c r="C114" s="5"/>
      <c r="D114" s="5"/>
      <c r="E114" s="5"/>
    </row>
    <row r="115" spans="1:5" x14ac:dyDescent="0.25">
      <c r="A115" s="5">
        <v>-2.1</v>
      </c>
      <c r="B115" s="5">
        <v>4.3983595980427191E-2</v>
      </c>
      <c r="C115" s="5"/>
      <c r="D115" s="5"/>
      <c r="E115" s="5"/>
    </row>
    <row r="116" spans="1:5" x14ac:dyDescent="0.25">
      <c r="A116" s="5">
        <v>-2</v>
      </c>
      <c r="B116" s="5">
        <v>5.3990966513188063E-2</v>
      </c>
      <c r="C116" s="5"/>
      <c r="D116" s="5"/>
      <c r="E116" s="5"/>
    </row>
    <row r="117" spans="1:5" x14ac:dyDescent="0.25">
      <c r="A117" s="5">
        <v>-1.9</v>
      </c>
      <c r="B117" s="5">
        <v>6.5615814774676595E-2</v>
      </c>
      <c r="C117" s="5"/>
      <c r="D117" s="5"/>
      <c r="E117" s="5"/>
    </row>
    <row r="118" spans="1:5" x14ac:dyDescent="0.25">
      <c r="A118" s="5">
        <v>-1.8</v>
      </c>
      <c r="B118" s="5">
        <v>7.8950158300894149E-2</v>
      </c>
      <c r="C118" s="5"/>
      <c r="D118" s="5"/>
      <c r="E118" s="5"/>
    </row>
    <row r="119" spans="1:5" x14ac:dyDescent="0.25">
      <c r="A119" s="5">
        <v>-1.7</v>
      </c>
      <c r="B119" s="5">
        <v>9.4049077376886947E-2</v>
      </c>
      <c r="C119" s="5"/>
      <c r="D119" s="5"/>
      <c r="E119" s="5"/>
    </row>
    <row r="120" spans="1:5" x14ac:dyDescent="0.25">
      <c r="A120" s="5">
        <v>-1.6</v>
      </c>
      <c r="B120" s="5">
        <v>0.11092083467945554</v>
      </c>
      <c r="C120" s="5"/>
      <c r="D120" s="5"/>
      <c r="E120" s="5"/>
    </row>
    <row r="121" spans="1:5" x14ac:dyDescent="0.25">
      <c r="A121" s="5">
        <v>-1.5</v>
      </c>
      <c r="B121" s="5">
        <v>0.12951759566589174</v>
      </c>
      <c r="C121" s="5"/>
      <c r="D121" s="5"/>
      <c r="E121" s="5"/>
    </row>
    <row r="122" spans="1:5" x14ac:dyDescent="0.25">
      <c r="A122" s="5">
        <v>-1.4</v>
      </c>
      <c r="B122" s="5">
        <v>0.14972746563574488</v>
      </c>
      <c r="C122" s="5"/>
      <c r="D122" s="5"/>
      <c r="E122" s="5"/>
    </row>
    <row r="123" spans="1:5" x14ac:dyDescent="0.25">
      <c r="A123" s="5">
        <v>-1.3</v>
      </c>
      <c r="B123" s="5">
        <v>0.17136859204780736</v>
      </c>
      <c r="C123" s="5"/>
      <c r="D123" s="5"/>
      <c r="E123" s="5"/>
    </row>
    <row r="124" spans="1:5" x14ac:dyDescent="0.25">
      <c r="A124" s="5">
        <v>-1.2</v>
      </c>
      <c r="B124" s="5">
        <v>0.19418605498321295</v>
      </c>
      <c r="C124" s="5"/>
      <c r="D124" s="5"/>
      <c r="E124" s="5"/>
    </row>
    <row r="125" spans="1:5" x14ac:dyDescent="0.25">
      <c r="A125" s="5">
        <v>-1.1000000000000001</v>
      </c>
      <c r="B125" s="5">
        <v>0.21785217703255053</v>
      </c>
      <c r="C125" s="5"/>
      <c r="D125" s="5"/>
      <c r="E125" s="5"/>
    </row>
    <row r="126" spans="1:5" x14ac:dyDescent="0.25">
      <c r="A126" s="5">
        <v>-1</v>
      </c>
      <c r="B126" s="5">
        <v>0.24197072451914337</v>
      </c>
      <c r="C126" s="5"/>
      <c r="D126" s="5"/>
      <c r="E126" s="5"/>
    </row>
    <row r="127" spans="1:5" x14ac:dyDescent="0.25">
      <c r="A127" s="5">
        <v>-0.9</v>
      </c>
      <c r="B127" s="5">
        <v>0.26608524989875482</v>
      </c>
      <c r="C127" s="5"/>
      <c r="D127" s="5"/>
      <c r="E127" s="5"/>
    </row>
    <row r="128" spans="1:5" x14ac:dyDescent="0.25">
      <c r="A128" s="5">
        <v>-0.8</v>
      </c>
      <c r="B128" s="5">
        <v>0.28969155276148273</v>
      </c>
      <c r="C128" s="5"/>
      <c r="D128" s="5"/>
      <c r="E128" s="5"/>
    </row>
    <row r="129" spans="1:5" x14ac:dyDescent="0.25">
      <c r="A129" s="5">
        <v>-0.7</v>
      </c>
      <c r="B129" s="5">
        <v>0.31225393336676127</v>
      </c>
      <c r="C129" s="5"/>
      <c r="D129" s="5"/>
      <c r="E129" s="5"/>
    </row>
    <row r="130" spans="1:5" x14ac:dyDescent="0.25">
      <c r="A130" s="5">
        <v>-0.6</v>
      </c>
      <c r="B130" s="5">
        <v>0.33322460289179967</v>
      </c>
      <c r="C130" s="5"/>
      <c r="D130" s="5"/>
      <c r="E130" s="5"/>
    </row>
    <row r="131" spans="1:5" x14ac:dyDescent="0.25">
      <c r="A131" s="5">
        <v>-0.5</v>
      </c>
      <c r="B131" s="5">
        <v>0.35206532676429952</v>
      </c>
      <c r="C131" s="5"/>
      <c r="D131" s="5"/>
      <c r="E131" s="5"/>
    </row>
    <row r="132" spans="1:5" x14ac:dyDescent="0.25">
      <c r="A132" s="5">
        <v>-0.4</v>
      </c>
      <c r="B132" s="5">
        <v>0.36827014030332333</v>
      </c>
      <c r="C132" s="5"/>
      <c r="D132" s="5"/>
      <c r="E132" s="5"/>
    </row>
    <row r="133" spans="1:5" x14ac:dyDescent="0.25">
      <c r="A133" s="5">
        <v>-0.3</v>
      </c>
      <c r="B133" s="5">
        <v>0.38138781546052414</v>
      </c>
      <c r="C133" s="5"/>
      <c r="D133" s="5"/>
      <c r="E133" s="5"/>
    </row>
    <row r="134" spans="1:5" x14ac:dyDescent="0.25">
      <c r="A134" s="5">
        <v>-0.2</v>
      </c>
      <c r="B134" s="5">
        <v>0.39104269397545588</v>
      </c>
      <c r="C134" s="5"/>
      <c r="D134" s="5"/>
      <c r="E134" s="5"/>
    </row>
    <row r="135" spans="1:5" x14ac:dyDescent="0.25">
      <c r="A135" s="5">
        <v>-0.1</v>
      </c>
      <c r="B135" s="5">
        <v>0.39695254747701181</v>
      </c>
      <c r="C135" s="5"/>
      <c r="D135" s="5"/>
      <c r="E135" s="5"/>
    </row>
    <row r="136" spans="1:5" x14ac:dyDescent="0.25">
      <c r="A136" s="5">
        <v>0</v>
      </c>
      <c r="B136" s="5">
        <v>0.3989422804014327</v>
      </c>
      <c r="C136" s="5"/>
      <c r="D136" s="5"/>
      <c r="E136" s="5"/>
    </row>
    <row r="137" spans="1:5" x14ac:dyDescent="0.25">
      <c r="A137" s="5">
        <v>0.1</v>
      </c>
      <c r="B137" s="5">
        <v>0.39695254747701181</v>
      </c>
      <c r="C137" s="5"/>
      <c r="D137" s="5"/>
      <c r="E137" s="5"/>
    </row>
    <row r="138" spans="1:5" x14ac:dyDescent="0.25">
      <c r="A138" s="5">
        <v>0.2</v>
      </c>
      <c r="B138" s="5">
        <v>0.39104269397545588</v>
      </c>
      <c r="C138" s="5"/>
      <c r="D138" s="5"/>
      <c r="E138" s="5"/>
    </row>
    <row r="139" spans="1:5" x14ac:dyDescent="0.25">
      <c r="A139" s="5">
        <v>0.3</v>
      </c>
      <c r="B139" s="5">
        <v>0.38138781546052414</v>
      </c>
      <c r="C139" s="5"/>
      <c r="D139" s="5"/>
      <c r="E139" s="5"/>
    </row>
    <row r="140" spans="1:5" x14ac:dyDescent="0.25">
      <c r="A140" s="5">
        <v>0.4</v>
      </c>
      <c r="B140" s="5">
        <v>0.36827014030332333</v>
      </c>
      <c r="C140" s="5"/>
      <c r="D140" s="5"/>
      <c r="E140" s="5"/>
    </row>
    <row r="141" spans="1:5" x14ac:dyDescent="0.25">
      <c r="A141" s="5">
        <v>0.5</v>
      </c>
      <c r="B141" s="5">
        <v>0.35206532676429952</v>
      </c>
      <c r="C141" s="5"/>
      <c r="D141" s="5"/>
      <c r="E141" s="5"/>
    </row>
    <row r="142" spans="1:5" x14ac:dyDescent="0.25">
      <c r="A142" s="5">
        <v>0.6</v>
      </c>
      <c r="B142" s="5">
        <v>0.33322460289179967</v>
      </c>
      <c r="C142" s="5"/>
      <c r="D142" s="5"/>
      <c r="E142" s="5"/>
    </row>
    <row r="143" spans="1:5" x14ac:dyDescent="0.25">
      <c r="A143" s="5">
        <v>0.7</v>
      </c>
      <c r="B143" s="5">
        <v>0.31225393336676127</v>
      </c>
      <c r="C143" s="5"/>
      <c r="D143" s="5"/>
      <c r="E143" s="5"/>
    </row>
    <row r="144" spans="1:5" x14ac:dyDescent="0.25">
      <c r="A144" s="5">
        <v>0.8</v>
      </c>
      <c r="B144" s="5">
        <v>0.28969155276148273</v>
      </c>
      <c r="C144" s="5"/>
      <c r="D144" s="5"/>
      <c r="E144" s="5"/>
    </row>
    <row r="145" spans="1:5" x14ac:dyDescent="0.25">
      <c r="A145" s="5">
        <v>0.9</v>
      </c>
      <c r="B145" s="5">
        <v>0.26608524989875482</v>
      </c>
      <c r="C145" s="5"/>
      <c r="D145" s="5"/>
      <c r="E145" s="5"/>
    </row>
    <row r="146" spans="1:5" x14ac:dyDescent="0.25">
      <c r="A146" s="5">
        <v>1</v>
      </c>
      <c r="B146" s="5">
        <v>0.24197072451914337</v>
      </c>
      <c r="C146" s="5"/>
      <c r="D146" s="5"/>
      <c r="E146" s="5"/>
    </row>
    <row r="147" spans="1:5" x14ac:dyDescent="0.25">
      <c r="A147" s="5">
        <v>1.1000000000000001</v>
      </c>
      <c r="B147" s="5">
        <v>0.21785217703255053</v>
      </c>
      <c r="C147" s="5"/>
      <c r="D147" s="5"/>
      <c r="E147" s="5"/>
    </row>
    <row r="148" spans="1:5" x14ac:dyDescent="0.25">
      <c r="A148" s="5">
        <v>1.2</v>
      </c>
      <c r="B148" s="5">
        <v>0.19418605498321295</v>
      </c>
      <c r="C148" s="5"/>
      <c r="D148" s="5"/>
      <c r="E148" s="5"/>
    </row>
    <row r="149" spans="1:5" x14ac:dyDescent="0.25">
      <c r="A149" s="5">
        <v>1.3</v>
      </c>
      <c r="B149" s="5">
        <v>0.17136859204780736</v>
      </c>
      <c r="C149" s="5"/>
      <c r="D149" s="5"/>
      <c r="E149" s="5"/>
    </row>
    <row r="150" spans="1:5" x14ac:dyDescent="0.25">
      <c r="A150" s="5">
        <v>1.4</v>
      </c>
      <c r="B150" s="5">
        <v>0.14972746563574488</v>
      </c>
      <c r="C150" s="5"/>
      <c r="D150" s="5"/>
      <c r="E150" s="5"/>
    </row>
    <row r="151" spans="1:5" x14ac:dyDescent="0.25">
      <c r="A151" s="5">
        <v>1.5</v>
      </c>
      <c r="B151" s="5">
        <v>0.12951759566589174</v>
      </c>
      <c r="C151" s="5"/>
      <c r="D151" s="5"/>
      <c r="E151" s="5"/>
    </row>
    <row r="152" spans="1:5" x14ac:dyDescent="0.25">
      <c r="A152" s="5">
        <v>1.6</v>
      </c>
      <c r="B152" s="5">
        <v>0.11092083467945554</v>
      </c>
      <c r="C152" s="5"/>
      <c r="D152" s="5"/>
      <c r="E152" s="5"/>
    </row>
    <row r="153" spans="1:5" x14ac:dyDescent="0.25">
      <c r="A153" s="5">
        <v>1.7</v>
      </c>
      <c r="B153" s="5">
        <v>9.4049077376886947E-2</v>
      </c>
      <c r="C153" s="5"/>
      <c r="D153" s="5"/>
      <c r="E153" s="5"/>
    </row>
    <row r="154" spans="1:5" x14ac:dyDescent="0.25">
      <c r="A154" s="5">
        <v>1.8</v>
      </c>
      <c r="B154" s="5">
        <v>7.8950158300894149E-2</v>
      </c>
      <c r="C154" s="5"/>
      <c r="D154" s="5"/>
      <c r="E154" s="5"/>
    </row>
    <row r="155" spans="1:5" x14ac:dyDescent="0.25">
      <c r="A155" s="5">
        <v>1.9</v>
      </c>
      <c r="B155" s="5">
        <v>6.5615814774676595E-2</v>
      </c>
      <c r="C155" s="5"/>
      <c r="D155" s="5"/>
      <c r="E155" s="5"/>
    </row>
    <row r="156" spans="1:5" x14ac:dyDescent="0.25">
      <c r="A156" s="5">
        <v>2.0000000000000102</v>
      </c>
      <c r="B156" s="5">
        <v>5.3990966513186953E-2</v>
      </c>
      <c r="C156" s="5"/>
      <c r="D156" s="5"/>
      <c r="E156" s="5"/>
    </row>
    <row r="157" spans="1:5" x14ac:dyDescent="0.25">
      <c r="A157" s="5">
        <v>2.1</v>
      </c>
      <c r="B157" s="5">
        <v>4.3983595980427191E-2</v>
      </c>
      <c r="C157" s="5"/>
      <c r="D157" s="5"/>
      <c r="E157" s="5"/>
    </row>
    <row r="158" spans="1:5" x14ac:dyDescent="0.25">
      <c r="A158" s="5">
        <v>2.2000000000000002</v>
      </c>
      <c r="B158" s="5">
        <v>3.5474592846231424E-2</v>
      </c>
      <c r="C158" s="5"/>
      <c r="D158" s="5"/>
      <c r="E158" s="5"/>
    </row>
    <row r="159" spans="1:5" x14ac:dyDescent="0.25">
      <c r="A159" s="5">
        <v>2.30000000000001</v>
      </c>
      <c r="B159" s="5">
        <v>2.8327037741600516E-2</v>
      </c>
      <c r="C159" s="5"/>
      <c r="D159" s="5"/>
      <c r="E159" s="5"/>
    </row>
    <row r="160" spans="1:5" x14ac:dyDescent="0.25">
      <c r="A160" s="5">
        <v>2.4000000000000101</v>
      </c>
      <c r="B160" s="5">
        <v>2.2394530294842355E-2</v>
      </c>
      <c r="C160" s="5"/>
      <c r="D160" s="5"/>
      <c r="E160" s="5"/>
    </row>
    <row r="161" spans="1:5" x14ac:dyDescent="0.25">
      <c r="A161" s="5">
        <v>2.5000000000000102</v>
      </c>
      <c r="B161" s="5">
        <v>1.7528300493568086E-2</v>
      </c>
      <c r="C161" s="5"/>
      <c r="D161" s="5"/>
      <c r="E161" s="5"/>
    </row>
    <row r="162" spans="1:5" x14ac:dyDescent="0.25">
      <c r="A162" s="5">
        <v>2.6</v>
      </c>
      <c r="B162" s="5">
        <v>1.3582969233685613E-2</v>
      </c>
      <c r="C162" s="5"/>
      <c r="D162" s="5"/>
      <c r="E162" s="5"/>
    </row>
    <row r="163" spans="1:5" x14ac:dyDescent="0.25">
      <c r="A163" s="5">
        <v>2.7000000000000099</v>
      </c>
      <c r="B163" s="5">
        <v>1.0420934814422318E-2</v>
      </c>
      <c r="C163" s="5"/>
      <c r="D163" s="5"/>
      <c r="E163" s="5"/>
    </row>
    <row r="164" spans="1:5" x14ac:dyDescent="0.25">
      <c r="A164" s="5">
        <v>2.80000000000001</v>
      </c>
      <c r="B164" s="5">
        <v>7.915451582979743E-3</v>
      </c>
      <c r="C164" s="5"/>
      <c r="D164" s="5"/>
      <c r="E164" s="5"/>
    </row>
    <row r="165" spans="1:5" x14ac:dyDescent="0.25">
      <c r="A165" s="5">
        <v>2.9000000000000101</v>
      </c>
      <c r="B165" s="5">
        <v>5.9525324197756795E-3</v>
      </c>
      <c r="C165" s="5"/>
      <c r="D165" s="5"/>
      <c r="E165" s="5"/>
    </row>
    <row r="166" spans="1:5" x14ac:dyDescent="0.25">
      <c r="A166" s="5">
        <v>3.0000000000000102</v>
      </c>
      <c r="B166" s="5">
        <v>4.431848411937874E-3</v>
      </c>
      <c r="C166" s="5"/>
      <c r="D166" s="5"/>
      <c r="E166" s="5"/>
    </row>
    <row r="167" spans="1:5" x14ac:dyDescent="0.25">
      <c r="A167" s="5">
        <v>3.1000000000000099</v>
      </c>
      <c r="B167" s="5">
        <v>3.2668190561998202E-3</v>
      </c>
      <c r="C167" s="5"/>
      <c r="D167" s="5"/>
      <c r="E167" s="5"/>
    </row>
    <row r="168" spans="1:5" x14ac:dyDescent="0.25">
      <c r="A168" s="5">
        <v>3.2000000000000099</v>
      </c>
      <c r="B168" s="5">
        <v>2.3840882014647662E-3</v>
      </c>
      <c r="C168" s="5"/>
      <c r="D168" s="5"/>
      <c r="E168" s="5"/>
    </row>
    <row r="169" spans="1:5" x14ac:dyDescent="0.25">
      <c r="A169" s="5">
        <v>3.30000000000001</v>
      </c>
      <c r="B169" s="5">
        <v>1.7225689390536229E-3</v>
      </c>
      <c r="C169" s="5"/>
      <c r="D169" s="5"/>
      <c r="E169" s="5"/>
    </row>
    <row r="170" spans="1:5" x14ac:dyDescent="0.25">
      <c r="A170" s="5">
        <v>3.4000000000000101</v>
      </c>
      <c r="B170" s="5">
        <v>1.2322191684729772E-3</v>
      </c>
      <c r="C170" s="5"/>
      <c r="D170" s="5"/>
      <c r="E170" s="5"/>
    </row>
    <row r="171" spans="1:5" x14ac:dyDescent="0.25">
      <c r="A171" s="5">
        <v>3.5000000000000102</v>
      </c>
      <c r="B171" s="5">
        <v>8.7268269504572915E-4</v>
      </c>
      <c r="C171" s="5"/>
      <c r="D171" s="5"/>
      <c r="E171" s="5"/>
    </row>
    <row r="172" spans="1:5" x14ac:dyDescent="0.25">
      <c r="A172" s="5"/>
      <c r="B172" s="5"/>
      <c r="C172" s="5"/>
      <c r="D172" s="5"/>
      <c r="E172" s="5"/>
    </row>
  </sheetData>
  <sheetProtection selectLockedCells="1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Selection intensity calulator</vt:lpstr>
      <vt:lpstr>selection intensity tables</vt:lpstr>
      <vt:lpstr>Selection intensity curves</vt:lpstr>
      <vt:lpstr>correlated EBV</vt:lpstr>
    </vt:vector>
  </TitlesOfParts>
  <Company>UNE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 der werf</dc:creator>
  <cp:lastModifiedBy>vanderwerf</cp:lastModifiedBy>
  <cp:lastPrinted>2011-08-01T10:53:52Z</cp:lastPrinted>
  <dcterms:created xsi:type="dcterms:W3CDTF">2004-04-04T23:06:12Z</dcterms:created>
  <dcterms:modified xsi:type="dcterms:W3CDTF">2015-05-14T23:59:42Z</dcterms:modified>
</cp:coreProperties>
</file>