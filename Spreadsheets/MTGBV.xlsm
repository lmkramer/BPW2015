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2" yWindow="-12" windowWidth="23256" windowHeight="12228" activeTab="1"/>
  </bookViews>
  <sheets>
    <sheet name="Instructions" sheetId="9" r:id="rId1"/>
    <sheet name="2 trait GS selection index" sheetId="4" r:id="rId2"/>
  </sheets>
  <definedNames>
    <definedName name="nt" localSheetId="1">'2 trait GS selection index'!#REF!</definedName>
    <definedName name="nt">#REF!</definedName>
  </definedNames>
  <calcPr calcId="145621"/>
</workbook>
</file>

<file path=xl/calcChain.xml><?xml version="1.0" encoding="utf-8"?>
<calcChain xmlns="http://schemas.openxmlformats.org/spreadsheetml/2006/main">
  <c r="L20" i="4" l="1"/>
  <c r="D20" i="4"/>
  <c r="L39" i="4"/>
  <c r="D39" i="4"/>
  <c r="L34" i="4"/>
  <c r="L35" i="4"/>
  <c r="L36" i="4"/>
  <c r="L37" i="4"/>
  <c r="L38" i="4"/>
  <c r="L33" i="4"/>
  <c r="D34" i="4"/>
  <c r="D35" i="4"/>
  <c r="D36" i="4"/>
  <c r="D37" i="4"/>
  <c r="D38" i="4"/>
  <c r="D33" i="4"/>
  <c r="L24" i="4"/>
  <c r="L25" i="4"/>
  <c r="D24" i="4"/>
  <c r="D25" i="4"/>
  <c r="L31" i="4"/>
  <c r="L28" i="4"/>
  <c r="D31" i="4"/>
  <c r="D28" i="4"/>
</calcChain>
</file>

<file path=xl/sharedStrings.xml><?xml version="1.0" encoding="utf-8"?>
<sst xmlns="http://schemas.openxmlformats.org/spreadsheetml/2006/main" count="302" uniqueCount="90">
  <si>
    <t>SD Index</t>
  </si>
  <si>
    <t>Parameters</t>
  </si>
  <si>
    <t>Results</t>
  </si>
  <si>
    <t>Genetic</t>
  </si>
  <si>
    <t>SD of breeding objective</t>
  </si>
  <si>
    <t xml:space="preserve">  </t>
  </si>
  <si>
    <t>weights</t>
  </si>
  <si>
    <t>it uses a macro, so you need to allow usage of macros</t>
  </si>
  <si>
    <t>(see Tools&gt;Security&gt;Macro Security)</t>
  </si>
  <si>
    <t>It does</t>
  </si>
  <si>
    <t>Work out basic selection index</t>
  </si>
  <si>
    <t>accuracy</t>
  </si>
  <si>
    <t>response per trait in $ and trait units</t>
  </si>
  <si>
    <t>This is per 'selection round'</t>
  </si>
  <si>
    <t>For response per year, multiply by</t>
  </si>
  <si>
    <t>i/(Lf+Lm), where i is selection intensity, and L is generation interval</t>
  </si>
  <si>
    <t>Typically you would calculate different indices for males and females</t>
  </si>
  <si>
    <t>Or even for different ages classes</t>
  </si>
  <si>
    <t>Check whether parameters are consistent</t>
  </si>
  <si>
    <t>Provide accuracy per trait EBV, from single trait and multiple trait information</t>
  </si>
  <si>
    <t>It does not handle</t>
  </si>
  <si>
    <t>Desired Gains</t>
  </si>
  <si>
    <t>(see for this MTINDEX_DESGAIN)</t>
  </si>
  <si>
    <t>Multiple Stage Selection</t>
  </si>
  <si>
    <t>Instruction:</t>
  </si>
  <si>
    <t>Input on in light blue cells, others are protected</t>
  </si>
  <si>
    <t>To run the program, just click on the RUN button (if this does not work, you might have turned on the 'Select Objects' button on the drawing toolbar)</t>
  </si>
  <si>
    <t>Produced by</t>
  </si>
  <si>
    <t>University of New England</t>
  </si>
  <si>
    <t>Armidale, Australia</t>
  </si>
  <si>
    <t>julius.vanderwerf@une.edu.au</t>
  </si>
  <si>
    <t>http://www-personal.une.edu.au/~jvanderw/</t>
  </si>
  <si>
    <t>other tools:</t>
  </si>
  <si>
    <t>http://www-personal.une.edu.au/~jvanderw/software.htm</t>
  </si>
  <si>
    <t>phen SD</t>
  </si>
  <si>
    <t>heritability</t>
  </si>
  <si>
    <t>repeatability</t>
  </si>
  <si>
    <t>c2 among full sibs</t>
  </si>
  <si>
    <t>economic value</t>
  </si>
  <si>
    <t>Information used</t>
  </si>
  <si>
    <t>Nr.Records</t>
  </si>
  <si>
    <t xml:space="preserve">nr of own records </t>
  </si>
  <si>
    <t>nr. of records on dam</t>
  </si>
  <si>
    <t>nr of records on sire</t>
  </si>
  <si>
    <t>nr of fulls sib records</t>
  </si>
  <si>
    <t>nr. of half sib records (excl. full sibs)</t>
  </si>
  <si>
    <t>nr. of progeny</t>
  </si>
  <si>
    <t>only fill in light blue cells</t>
  </si>
  <si>
    <t xml:space="preserve">  INPUT</t>
  </si>
  <si>
    <t xml:space="preserve">  OUTPUT</t>
  </si>
  <si>
    <t>VCV</t>
  </si>
  <si>
    <t>Genetic SD</t>
  </si>
  <si>
    <t>Genetic SD dollar</t>
  </si>
  <si>
    <t>Respons</t>
  </si>
  <si>
    <t>Response dollar</t>
  </si>
  <si>
    <t>Index weight</t>
  </si>
  <si>
    <t>Index of accuracy</t>
  </si>
  <si>
    <t>Overall Accuracy</t>
  </si>
  <si>
    <t>genotype of individual</t>
  </si>
  <si>
    <t>nr of progeny</t>
  </si>
  <si>
    <t>nr of half sib records (excl. full sibs)</t>
  </si>
  <si>
    <t>nr of records on dam</t>
  </si>
  <si>
    <t xml:space="preserve"> Genetic Covariance matrix as given (correlations below diagonal)</t>
  </si>
  <si>
    <t xml:space="preserve"> Residual Covariance matrix as given (correlations below diagonal) </t>
  </si>
  <si>
    <t xml:space="preserve"> Genetic Covariance matrix POSITIVE DEFINITE </t>
  </si>
  <si>
    <t xml:space="preserve">   </t>
  </si>
  <si>
    <t xml:space="preserve"> Residual Covariance matrix POSITIVE DEFINITE </t>
  </si>
  <si>
    <t xml:space="preserve"> </t>
  </si>
  <si>
    <t>individual genotyped</t>
  </si>
  <si>
    <t>MTINDEX PC</t>
  </si>
  <si>
    <t>is a simple spreadsheet for selection index calculations with thecombined use of purebred and crossbred data</t>
  </si>
  <si>
    <t>For purebred and crossbred animals separately and combined</t>
  </si>
  <si>
    <t>Provide covariance matrix about PC-EBVs</t>
  </si>
  <si>
    <t xml:space="preserve">Julius van der Werf </t>
  </si>
  <si>
    <t>And</t>
  </si>
  <si>
    <t>Ilse van Grevenhof</t>
  </si>
  <si>
    <t>Wageningen University, Wageningen, The Netherlands</t>
  </si>
  <si>
    <t>ilse.vangrevenhof@wur.nl</t>
  </si>
  <si>
    <t>-</t>
  </si>
  <si>
    <t xml:space="preserve"> accuracy of Index</t>
  </si>
  <si>
    <t>Correlation</t>
  </si>
  <si>
    <t>Phenotypic</t>
  </si>
  <si>
    <t>Trait 1</t>
  </si>
  <si>
    <t>Trait 2</t>
  </si>
  <si>
    <t>T1</t>
  </si>
  <si>
    <t>T2</t>
  </si>
  <si>
    <t>Accuracy ST</t>
  </si>
  <si>
    <t>Accuracy MT</t>
  </si>
  <si>
    <t>AccuracyMT</t>
  </si>
  <si>
    <t>reliability of MBV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</si>
</sst>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80" formatCode="0.0000"/>
    <numFmt numFmtId="181" formatCode="0.000"/>
    <numFmt numFmtId="182" formatCode="0.000000"/>
    <numFmt numFmtId="183" formatCode="0.00000"/>
    <numFmt numFmtId="184" formatCode="0.0"/>
  </numFmts>
  <fonts count="9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b/>
      <sz val="18"/>
      <name val="Arial"/>
      <family val="2"/>
    </font>
    <font>
      <b/>
      <sz val="1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144">
    <xf numFmtId="0" fontId="0" fillId="0" borderId="0" xfId="0"/>
    <xf numFmtId="2" fontId="0" fillId="2" borderId="0" xfId="0" applyNumberFormat="1" applyFill="1"/>
    <xf numFmtId="0" fontId="0" fillId="2" borderId="0" xfId="0" applyFill="1"/>
    <xf numFmtId="0" fontId="0" fillId="2" borderId="0" xfId="0" applyFill="1" applyBorder="1"/>
    <xf numFmtId="184" fontId="0" fillId="2" borderId="0" xfId="0" applyNumberFormat="1" applyFill="1"/>
    <xf numFmtId="0" fontId="0" fillId="0" borderId="0" xfId="0" applyBorder="1"/>
    <xf numFmtId="0" fontId="4" fillId="2" borderId="0" xfId="0" applyFont="1" applyFill="1"/>
    <xf numFmtId="0" fontId="5" fillId="2" borderId="0" xfId="1" applyFill="1" applyAlignment="1" applyProtection="1"/>
    <xf numFmtId="0" fontId="0" fillId="3" borderId="0" xfId="0" applyFill="1" applyBorder="1"/>
    <xf numFmtId="0" fontId="0" fillId="3" borderId="0" xfId="0" applyFill="1"/>
    <xf numFmtId="2" fontId="0" fillId="3" borderId="0" xfId="0" applyNumberFormat="1" applyFill="1"/>
    <xf numFmtId="2" fontId="0" fillId="3" borderId="0" xfId="0" applyNumberFormat="1" applyFill="1" applyBorder="1"/>
    <xf numFmtId="2" fontId="0" fillId="4" borderId="1" xfId="0" applyNumberFormat="1" applyFill="1" applyBorder="1" applyAlignment="1">
      <alignment horizontal="right"/>
    </xf>
    <xf numFmtId="0" fontId="0" fillId="5" borderId="2" xfId="0" applyFill="1" applyBorder="1" applyAlignment="1">
      <alignment horizontal="center"/>
    </xf>
    <xf numFmtId="0" fontId="0" fillId="4" borderId="1" xfId="0" applyFill="1" applyBorder="1" applyAlignment="1">
      <alignment horizontal="right"/>
    </xf>
    <xf numFmtId="0" fontId="0" fillId="4" borderId="3" xfId="0" applyFill="1" applyBorder="1" applyAlignment="1">
      <alignment horizontal="right"/>
    </xf>
    <xf numFmtId="0" fontId="0" fillId="5" borderId="4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2" fontId="2" fillId="4" borderId="6" xfId="0" applyNumberFormat="1" applyFont="1" applyFill="1" applyBorder="1" applyAlignment="1">
      <alignment horizontal="right"/>
    </xf>
    <xf numFmtId="2" fontId="2" fillId="4" borderId="7" xfId="0" applyNumberFormat="1" applyFont="1" applyFill="1" applyBorder="1" applyAlignment="1">
      <alignment horizontal="right"/>
    </xf>
    <xf numFmtId="0" fontId="2" fillId="4" borderId="7" xfId="0" applyFont="1" applyFill="1" applyBorder="1" applyAlignment="1">
      <alignment horizontal="right"/>
    </xf>
    <xf numFmtId="0" fontId="2" fillId="4" borderId="8" xfId="0" applyFont="1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0" fontId="0" fillId="6" borderId="10" xfId="0" applyFill="1" applyBorder="1"/>
    <xf numFmtId="0" fontId="0" fillId="6" borderId="11" xfId="0" applyFill="1" applyBorder="1"/>
    <xf numFmtId="0" fontId="0" fillId="6" borderId="12" xfId="0" applyFill="1" applyBorder="1"/>
    <xf numFmtId="0" fontId="0" fillId="6" borderId="0" xfId="0" applyFill="1" applyBorder="1"/>
    <xf numFmtId="0" fontId="0" fillId="6" borderId="12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181" fontId="0" fillId="6" borderId="12" xfId="0" applyNumberFormat="1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6" borderId="0" xfId="0" applyFill="1" applyBorder="1" applyAlignment="1"/>
    <xf numFmtId="181" fontId="0" fillId="6" borderId="0" xfId="0" applyNumberFormat="1" applyFill="1" applyBorder="1"/>
    <xf numFmtId="0" fontId="6" fillId="6" borderId="0" xfId="0" applyFont="1" applyFill="1" applyBorder="1" applyAlignment="1">
      <alignment horizontal="center"/>
    </xf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7" borderId="10" xfId="0" applyFill="1" applyBorder="1"/>
    <xf numFmtId="0" fontId="0" fillId="7" borderId="11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2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181" fontId="0" fillId="7" borderId="12" xfId="0" applyNumberFormat="1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0" fontId="0" fillId="7" borderId="0" xfId="0" applyFill="1" applyBorder="1" applyAlignment="1"/>
    <xf numFmtId="181" fontId="0" fillId="7" borderId="0" xfId="0" applyNumberFormat="1" applyFill="1" applyBorder="1"/>
    <xf numFmtId="0" fontId="6" fillId="7" borderId="0" xfId="0" applyFont="1" applyFill="1" applyBorder="1" applyAlignment="1">
      <alignment horizontal="center"/>
    </xf>
    <xf numFmtId="0" fontId="2" fillId="7" borderId="0" xfId="0" applyFont="1" applyFill="1" applyBorder="1" applyAlignment="1">
      <alignment horizontal="center"/>
    </xf>
    <xf numFmtId="0" fontId="0" fillId="7" borderId="16" xfId="0" applyFill="1" applyBorder="1"/>
    <xf numFmtId="1" fontId="0" fillId="7" borderId="14" xfId="0" applyNumberFormat="1" applyFill="1" applyBorder="1" applyAlignment="1">
      <alignment horizontal="center"/>
    </xf>
    <xf numFmtId="0" fontId="0" fillId="7" borderId="15" xfId="0" applyFill="1" applyBorder="1"/>
    <xf numFmtId="0" fontId="0" fillId="7" borderId="17" xfId="0" applyFill="1" applyBorder="1"/>
    <xf numFmtId="0" fontId="0" fillId="8" borderId="8" xfId="0" applyFill="1" applyBorder="1" applyAlignment="1">
      <alignment horizontal="center" vertical="center"/>
    </xf>
    <xf numFmtId="0" fontId="1" fillId="9" borderId="10" xfId="0" applyFont="1" applyFill="1" applyBorder="1"/>
    <xf numFmtId="0" fontId="0" fillId="9" borderId="15" xfId="0" applyFill="1" applyBorder="1"/>
    <xf numFmtId="0" fontId="1" fillId="9" borderId="12" xfId="0" applyFont="1" applyFill="1" applyBorder="1"/>
    <xf numFmtId="0" fontId="0" fillId="9" borderId="16" xfId="0" applyFill="1" applyBorder="1"/>
    <xf numFmtId="0" fontId="0" fillId="7" borderId="0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18" xfId="0" applyFill="1" applyBorder="1"/>
    <xf numFmtId="1" fontId="0" fillId="6" borderId="3" xfId="0" applyNumberFormat="1" applyFill="1" applyBorder="1" applyAlignment="1">
      <alignment horizontal="center"/>
    </xf>
    <xf numFmtId="1" fontId="0" fillId="6" borderId="0" xfId="0" applyNumberFormat="1" applyFill="1" applyBorder="1" applyAlignment="1">
      <alignment horizontal="center"/>
    </xf>
    <xf numFmtId="0" fontId="0" fillId="6" borderId="2" xfId="0" applyFill="1" applyBorder="1"/>
    <xf numFmtId="0" fontId="0" fillId="6" borderId="19" xfId="0" applyFill="1" applyBorder="1"/>
    <xf numFmtId="0" fontId="0" fillId="6" borderId="1" xfId="0" applyFill="1" applyBorder="1"/>
    <xf numFmtId="1" fontId="0" fillId="5" borderId="5" xfId="0" applyNumberFormat="1" applyFill="1" applyBorder="1" applyAlignment="1">
      <alignment horizontal="center"/>
    </xf>
    <xf numFmtId="0" fontId="2" fillId="4" borderId="1" xfId="0" applyFont="1" applyFill="1" applyBorder="1" applyAlignment="1">
      <alignment horizontal="right" vertical="center"/>
    </xf>
    <xf numFmtId="0" fontId="2" fillId="4" borderId="7" xfId="0" applyFont="1" applyFill="1" applyBorder="1" applyAlignment="1">
      <alignment horizontal="right" vertical="center"/>
    </xf>
    <xf numFmtId="0" fontId="2" fillId="4" borderId="6" xfId="0" applyFont="1" applyFill="1" applyBorder="1" applyAlignment="1">
      <alignment horizontal="right" vertical="center"/>
    </xf>
    <xf numFmtId="0" fontId="2" fillId="4" borderId="3" xfId="0" applyFont="1" applyFill="1" applyBorder="1" applyAlignment="1">
      <alignment horizontal="right"/>
    </xf>
    <xf numFmtId="0" fontId="0" fillId="7" borderId="18" xfId="0" applyFill="1" applyBorder="1"/>
    <xf numFmtId="0" fontId="0" fillId="5" borderId="20" xfId="0" applyFill="1" applyBorder="1" applyAlignment="1">
      <alignment horizontal="center"/>
    </xf>
    <xf numFmtId="0" fontId="8" fillId="6" borderId="10" xfId="0" applyFont="1" applyFill="1" applyBorder="1" applyAlignment="1">
      <alignment horizontal="center"/>
    </xf>
    <xf numFmtId="0" fontId="8" fillId="7" borderId="10" xfId="0" applyFont="1" applyFill="1" applyBorder="1" applyAlignment="1">
      <alignment horizontal="center"/>
    </xf>
    <xf numFmtId="2" fontId="0" fillId="3" borderId="21" xfId="0" applyNumberFormat="1" applyFill="1" applyBorder="1" applyAlignment="1">
      <alignment horizontal="center"/>
    </xf>
    <xf numFmtId="0" fontId="2" fillId="0" borderId="0" xfId="0" applyFont="1"/>
    <xf numFmtId="0" fontId="0" fillId="10" borderId="20" xfId="0" applyFill="1" applyBorder="1" applyAlignment="1">
      <alignment horizontal="center"/>
    </xf>
    <xf numFmtId="0" fontId="2" fillId="2" borderId="0" xfId="0" applyFont="1" applyFill="1"/>
    <xf numFmtId="0" fontId="0" fillId="2" borderId="10" xfId="0" applyFill="1" applyBorder="1"/>
    <xf numFmtId="0" fontId="0" fillId="2" borderId="11" xfId="0" applyFill="1" applyBorder="1"/>
    <xf numFmtId="0" fontId="0" fillId="2" borderId="15" xfId="0" applyFill="1" applyBorder="1"/>
    <xf numFmtId="0" fontId="0" fillId="2" borderId="12" xfId="0" applyFill="1" applyBorder="1"/>
    <xf numFmtId="0" fontId="0" fillId="2" borderId="16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7" xfId="0" applyFill="1" applyBorder="1"/>
    <xf numFmtId="0" fontId="5" fillId="0" borderId="0" xfId="1" applyAlignment="1" applyProtection="1"/>
    <xf numFmtId="2" fontId="0" fillId="3" borderId="22" xfId="0" applyNumberFormat="1" applyFill="1" applyBorder="1"/>
    <xf numFmtId="2" fontId="0" fillId="3" borderId="23" xfId="0" applyNumberFormat="1" applyFill="1" applyBorder="1"/>
    <xf numFmtId="0" fontId="0" fillId="11" borderId="24" xfId="0" applyFill="1" applyBorder="1" applyAlignment="1">
      <alignment horizontal="center"/>
    </xf>
    <xf numFmtId="0" fontId="0" fillId="11" borderId="21" xfId="0" applyFill="1" applyBorder="1" applyAlignment="1">
      <alignment horizontal="center"/>
    </xf>
    <xf numFmtId="0" fontId="6" fillId="11" borderId="21" xfId="0" applyFont="1" applyFill="1" applyBorder="1" applyAlignment="1">
      <alignment horizontal="center"/>
    </xf>
    <xf numFmtId="2" fontId="0" fillId="12" borderId="25" xfId="0" applyNumberFormat="1" applyFill="1" applyBorder="1" applyAlignment="1">
      <alignment horizontal="center"/>
    </xf>
    <xf numFmtId="2" fontId="0" fillId="12" borderId="18" xfId="0" applyNumberFormat="1" applyFill="1" applyBorder="1" applyAlignment="1">
      <alignment horizontal="center"/>
    </xf>
    <xf numFmtId="0" fontId="0" fillId="12" borderId="3" xfId="0" applyFill="1" applyBorder="1"/>
    <xf numFmtId="0" fontId="0" fillId="12" borderId="2" xfId="0" applyFill="1" applyBorder="1"/>
    <xf numFmtId="0" fontId="3" fillId="12" borderId="26" xfId="0" applyFont="1" applyFill="1" applyBorder="1" applyAlignment="1">
      <alignment horizontal="right" vertical="center"/>
    </xf>
    <xf numFmtId="0" fontId="0" fillId="12" borderId="25" xfId="0" applyFill="1" applyBorder="1"/>
    <xf numFmtId="0" fontId="0" fillId="12" borderId="3" xfId="0" applyFill="1" applyBorder="1" applyAlignment="1">
      <alignment horizontal="right"/>
    </xf>
    <xf numFmtId="0" fontId="0" fillId="12" borderId="2" xfId="0" applyFill="1" applyBorder="1" applyAlignment="1">
      <alignment horizontal="center"/>
    </xf>
    <xf numFmtId="0" fontId="2" fillId="12" borderId="12" xfId="0" applyFont="1" applyFill="1" applyBorder="1" applyAlignment="1">
      <alignment horizontal="center" vertical="center"/>
    </xf>
    <xf numFmtId="0" fontId="2" fillId="12" borderId="13" xfId="0" applyFont="1" applyFill="1" applyBorder="1" applyAlignment="1">
      <alignment horizontal="center" vertical="center"/>
    </xf>
    <xf numFmtId="0" fontId="2" fillId="12" borderId="11" xfId="0" applyFont="1" applyFill="1" applyBorder="1" applyAlignment="1">
      <alignment horizontal="center" vertical="center"/>
    </xf>
    <xf numFmtId="0" fontId="2" fillId="12" borderId="15" xfId="0" applyFont="1" applyFill="1" applyBorder="1" applyAlignment="1">
      <alignment horizontal="center" vertical="center"/>
    </xf>
    <xf numFmtId="0" fontId="0" fillId="12" borderId="0" xfId="0" applyFill="1"/>
    <xf numFmtId="0" fontId="3" fillId="12" borderId="27" xfId="0" applyFont="1" applyFill="1" applyBorder="1" applyAlignment="1">
      <alignment horizontal="right" vertical="center"/>
    </xf>
    <xf numFmtId="0" fontId="0" fillId="12" borderId="28" xfId="0" applyFill="1" applyBorder="1"/>
    <xf numFmtId="2" fontId="0" fillId="12" borderId="4" xfId="0" applyNumberFormat="1" applyFill="1" applyBorder="1" applyAlignment="1">
      <alignment horizontal="center"/>
    </xf>
    <xf numFmtId="2" fontId="0" fillId="12" borderId="29" xfId="0" applyNumberFormat="1" applyFill="1" applyBorder="1" applyAlignment="1">
      <alignment horizontal="center"/>
    </xf>
    <xf numFmtId="2" fontId="0" fillId="12" borderId="30" xfId="0" applyNumberFormat="1" applyFill="1" applyBorder="1" applyAlignment="1">
      <alignment horizontal="center"/>
    </xf>
    <xf numFmtId="181" fontId="0" fillId="3" borderId="18" xfId="0" applyNumberFormat="1" applyFill="1" applyBorder="1" applyAlignment="1">
      <alignment horizontal="center"/>
    </xf>
    <xf numFmtId="180" fontId="0" fillId="3" borderId="23" xfId="0" applyNumberFormat="1" applyFill="1" applyBorder="1"/>
    <xf numFmtId="0" fontId="0" fillId="3" borderId="0" xfId="0" applyFill="1" applyBorder="1" applyAlignment="1">
      <alignment horizontal="center"/>
    </xf>
    <xf numFmtId="2" fontId="0" fillId="13" borderId="0" xfId="0" applyNumberFormat="1" applyFill="1" applyBorder="1"/>
    <xf numFmtId="0" fontId="0" fillId="13" borderId="0" xfId="0" applyFill="1" applyBorder="1"/>
    <xf numFmtId="2" fontId="0" fillId="13" borderId="11" xfId="0" applyNumberFormat="1" applyFill="1" applyBorder="1"/>
    <xf numFmtId="0" fontId="0" fillId="13" borderId="11" xfId="0" applyFill="1" applyBorder="1"/>
    <xf numFmtId="0" fontId="0" fillId="13" borderId="15" xfId="0" applyFill="1" applyBorder="1"/>
    <xf numFmtId="0" fontId="0" fillId="13" borderId="16" xfId="0" applyFill="1" applyBorder="1"/>
    <xf numFmtId="2" fontId="0" fillId="13" borderId="16" xfId="0" applyNumberFormat="1" applyFill="1" applyBorder="1"/>
    <xf numFmtId="2" fontId="0" fillId="13" borderId="14" xfId="0" applyNumberFormat="1" applyFill="1" applyBorder="1"/>
    <xf numFmtId="0" fontId="0" fillId="13" borderId="14" xfId="0" applyFill="1" applyBorder="1"/>
    <xf numFmtId="2" fontId="0" fillId="13" borderId="17" xfId="0" applyNumberFormat="1" applyFill="1" applyBorder="1"/>
    <xf numFmtId="180" fontId="0" fillId="3" borderId="2" xfId="0" applyNumberFormat="1" applyFill="1" applyBorder="1" applyAlignment="1">
      <alignment horizontal="center"/>
    </xf>
    <xf numFmtId="182" fontId="0" fillId="12" borderId="31" xfId="0" applyNumberFormat="1" applyFill="1" applyBorder="1"/>
    <xf numFmtId="182" fontId="0" fillId="12" borderId="32" xfId="0" applyNumberFormat="1" applyFill="1" applyBorder="1"/>
    <xf numFmtId="182" fontId="0" fillId="12" borderId="8" xfId="0" applyNumberFormat="1" applyFill="1" applyBorder="1"/>
    <xf numFmtId="182" fontId="0" fillId="12" borderId="33" xfId="0" applyNumberFormat="1" applyFill="1" applyBorder="1"/>
    <xf numFmtId="180" fontId="0" fillId="12" borderId="25" xfId="0" applyNumberFormat="1" applyFill="1" applyBorder="1" applyAlignment="1">
      <alignment horizontal="center"/>
    </xf>
    <xf numFmtId="183" fontId="0" fillId="12" borderId="18" xfId="0" applyNumberFormat="1" applyFill="1" applyBorder="1" applyAlignment="1">
      <alignment horizontal="center"/>
    </xf>
    <xf numFmtId="0" fontId="7" fillId="7" borderId="12" xfId="0" applyFont="1" applyFill="1" applyBorder="1" applyAlignment="1">
      <alignment horizontal="center" vertical="center"/>
    </xf>
    <xf numFmtId="0" fontId="0" fillId="7" borderId="0" xfId="0" applyFill="1" applyBorder="1" applyAlignment="1">
      <alignment horizontal="center"/>
    </xf>
    <xf numFmtId="0" fontId="7" fillId="6" borderId="12" xfId="0" applyFont="1" applyFill="1" applyBorder="1" applyAlignment="1">
      <alignment horizontal="center" vertical="center"/>
    </xf>
    <xf numFmtId="0" fontId="0" fillId="6" borderId="0" xfId="0" applyFill="1" applyBorder="1" applyAlignment="1">
      <alignment horizontal="center"/>
    </xf>
    <xf numFmtId="0" fontId="2" fillId="5" borderId="24" xfId="0" applyFont="1" applyFill="1" applyBorder="1" applyAlignment="1">
      <alignment horizontal="center"/>
    </xf>
    <xf numFmtId="0" fontId="0" fillId="0" borderId="21" xfId="0" applyBorder="1" applyAlignment="1"/>
    <xf numFmtId="0" fontId="2" fillId="6" borderId="0" xfId="0" applyFont="1" applyFill="1" applyBorder="1" applyAlignment="1">
      <alignment horizontal="center"/>
    </xf>
    <xf numFmtId="0" fontId="0" fillId="6" borderId="0" xfId="0" applyFill="1" applyBorder="1" applyAlignment="1"/>
    <xf numFmtId="0" fontId="2" fillId="11" borderId="24" xfId="0" applyFont="1" applyFill="1" applyBorder="1" applyAlignment="1">
      <alignment horizontal="center"/>
    </xf>
    <xf numFmtId="0" fontId="0" fillId="11" borderId="21" xfId="0" applyFill="1" applyBorder="1" applyAlignment="1"/>
    <xf numFmtId="0" fontId="2" fillId="7" borderId="0" xfId="0" applyFont="1" applyFill="1" applyBorder="1" applyAlignment="1">
      <alignment horizontal="center"/>
    </xf>
    <xf numFmtId="0" fontId="0" fillId="7" borderId="0" xfId="0" applyFill="1" applyBorder="1" applyAlignmen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95250</xdr:colOff>
      <xdr:row>20</xdr:row>
      <xdr:rowOff>47625</xdr:rowOff>
    </xdr:from>
    <xdr:to>
      <xdr:col>8</xdr:col>
      <xdr:colOff>209550</xdr:colOff>
      <xdr:row>20</xdr:row>
      <xdr:rowOff>438432</xdr:rowOff>
    </xdr:to>
    <xdr:sp macro="[0]!blup" textlink="">
      <xdr:nvSpPr>
        <xdr:cNvPr id="2050" name="Text Box 2"/>
        <xdr:cNvSpPr txBox="1">
          <a:spLocks noChangeArrowheads="1"/>
        </xdr:cNvSpPr>
      </xdr:nvSpPr>
      <xdr:spPr bwMode="auto">
        <a:xfrm>
          <a:off x="4695825" y="3429000"/>
          <a:ext cx="1666875" cy="390807"/>
        </a:xfrm>
        <a:prstGeom prst="rect">
          <a:avLst/>
        </a:prstGeom>
        <a:solidFill>
          <a:srgbClr val="FF00FF"/>
        </a:solidFill>
        <a:ln w="9525">
          <a:solidFill>
            <a:schemeClr val="tx1"/>
          </a:solidFill>
          <a:miter lim="800000"/>
          <a:headEnd/>
          <a:tailEnd/>
        </a:ln>
      </xdr:spPr>
      <xdr:txBody>
        <a:bodyPr vertOverflow="clip" wrap="square" lIns="45720" tIns="32004" rIns="0" bIns="0" anchor="ctr" upright="1"/>
        <a:lstStyle/>
        <a:p>
          <a:pPr algn="ctr" rtl="0">
            <a:defRPr sz="1000"/>
          </a:pPr>
          <a:r>
            <a:rPr lang="en-AU" sz="1600" b="1" i="0" u="none" strike="noStrike" baseline="0">
              <a:solidFill>
                <a:srgbClr val="000000"/>
              </a:solidFill>
              <a:latin typeface="Arial"/>
              <a:cs typeface="Arial"/>
            </a:rPr>
            <a:t>Run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mailto:ilse.vangrevenhof@wur.nl" TargetMode="External"/><Relationship Id="rId1" Type="http://schemas.openxmlformats.org/officeDocument/2006/relationships/hyperlink" Target="mailto:julius.vanderwerf@une.edu.au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I252"/>
  <sheetViews>
    <sheetView workbookViewId="0">
      <selection activeCell="C5" sqref="C5"/>
    </sheetView>
  </sheetViews>
  <sheetFormatPr defaultRowHeight="13.2" x14ac:dyDescent="0.25"/>
  <cols>
    <col min="2" max="2" width="15.6640625" bestFit="1" customWidth="1"/>
  </cols>
  <sheetData>
    <row r="1" spans="1:87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</row>
    <row r="2" spans="1:87" ht="15.6" x14ac:dyDescent="0.3">
      <c r="A2" s="2"/>
      <c r="B2" s="6" t="s">
        <v>69</v>
      </c>
      <c r="C2" s="6" t="s">
        <v>70</v>
      </c>
      <c r="D2" s="6"/>
      <c r="E2" s="6"/>
      <c r="F2" s="6"/>
      <c r="G2" s="6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</row>
    <row r="3" spans="1:87" x14ac:dyDescent="0.25">
      <c r="A3" s="2"/>
      <c r="B3" s="2"/>
      <c r="C3" s="2" t="s">
        <v>7</v>
      </c>
      <c r="D3" s="2"/>
      <c r="E3" s="2"/>
      <c r="F3" s="2"/>
      <c r="G3" s="2"/>
      <c r="H3" s="2" t="s">
        <v>8</v>
      </c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</row>
    <row r="4" spans="1:87" x14ac:dyDescent="0.25">
      <c r="A4" s="2"/>
      <c r="B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</row>
    <row r="5" spans="1:87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</row>
    <row r="6" spans="1:87" x14ac:dyDescent="0.25">
      <c r="A6" s="2"/>
      <c r="B6" s="2"/>
      <c r="C6" s="2" t="s">
        <v>9</v>
      </c>
      <c r="D6" s="2" t="s">
        <v>10</v>
      </c>
      <c r="E6" s="2"/>
      <c r="F6" s="2"/>
      <c r="G6" s="2" t="s">
        <v>6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</row>
    <row r="7" spans="1:87" x14ac:dyDescent="0.25">
      <c r="A7" s="2"/>
      <c r="B7" s="2"/>
      <c r="C7" s="2"/>
      <c r="D7" s="2"/>
      <c r="E7" s="2"/>
      <c r="F7" s="2"/>
      <c r="G7" s="3" t="s">
        <v>11</v>
      </c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</row>
    <row r="8" spans="1:87" x14ac:dyDescent="0.25">
      <c r="A8" s="2"/>
      <c r="B8" s="2"/>
      <c r="C8" s="2"/>
      <c r="D8" s="2"/>
      <c r="E8" s="2"/>
      <c r="F8" s="2"/>
      <c r="G8" s="3" t="s">
        <v>12</v>
      </c>
      <c r="H8" s="3"/>
      <c r="I8" s="2"/>
      <c r="J8" s="2"/>
      <c r="K8" s="79" t="s">
        <v>13</v>
      </c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</row>
    <row r="9" spans="1:87" x14ac:dyDescent="0.25">
      <c r="A9" s="2"/>
      <c r="B9" s="2"/>
      <c r="C9" s="2"/>
      <c r="D9" s="2"/>
      <c r="E9" s="2"/>
      <c r="F9" s="2"/>
      <c r="G9" s="3"/>
      <c r="H9" s="3"/>
      <c r="I9" s="2"/>
      <c r="J9" s="2"/>
      <c r="K9" s="79" t="s">
        <v>71</v>
      </c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</row>
    <row r="10" spans="1:87" x14ac:dyDescent="0.25">
      <c r="A10" s="2"/>
      <c r="B10" s="2"/>
      <c r="C10" s="2"/>
      <c r="D10" s="2"/>
      <c r="E10" s="2"/>
      <c r="F10" s="2"/>
      <c r="G10" s="3"/>
      <c r="H10" s="3"/>
      <c r="I10" s="2"/>
      <c r="J10" s="2"/>
      <c r="K10" s="80" t="s">
        <v>14</v>
      </c>
      <c r="L10" s="81"/>
      <c r="M10" s="81"/>
      <c r="N10" s="81"/>
      <c r="O10" s="81"/>
      <c r="P10" s="81"/>
      <c r="Q10" s="8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</row>
    <row r="11" spans="1:87" x14ac:dyDescent="0.25">
      <c r="A11" s="2"/>
      <c r="B11" s="2"/>
      <c r="C11" s="2"/>
      <c r="D11" s="2"/>
      <c r="E11" s="2"/>
      <c r="F11" s="2"/>
      <c r="G11" s="3"/>
      <c r="H11" s="3"/>
      <c r="I11" s="2"/>
      <c r="J11" s="2"/>
      <c r="K11" s="83" t="s">
        <v>15</v>
      </c>
      <c r="L11" s="3"/>
      <c r="M11" s="3"/>
      <c r="N11" s="3"/>
      <c r="O11" s="3"/>
      <c r="P11" s="3"/>
      <c r="Q11" s="84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</row>
    <row r="12" spans="1:87" x14ac:dyDescent="0.25">
      <c r="A12" s="2"/>
      <c r="B12" s="2"/>
      <c r="C12" s="2"/>
      <c r="D12" s="2"/>
      <c r="E12" s="2"/>
      <c r="F12" s="2"/>
      <c r="G12" s="3"/>
      <c r="H12" s="3"/>
      <c r="I12" s="2"/>
      <c r="J12" s="2"/>
      <c r="K12" s="83" t="s">
        <v>16</v>
      </c>
      <c r="L12" s="3"/>
      <c r="M12" s="3"/>
      <c r="N12" s="3"/>
      <c r="O12" s="3"/>
      <c r="P12" s="3"/>
      <c r="Q12" s="84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</row>
    <row r="13" spans="1:87" x14ac:dyDescent="0.25">
      <c r="A13" s="2"/>
      <c r="B13" s="2"/>
      <c r="C13" s="2"/>
      <c r="D13" s="2"/>
      <c r="E13" s="2"/>
      <c r="F13" s="2"/>
      <c r="G13" s="3"/>
      <c r="H13" s="3"/>
      <c r="I13" s="2"/>
      <c r="J13" s="2"/>
      <c r="K13" s="85" t="s">
        <v>17</v>
      </c>
      <c r="L13" s="86"/>
      <c r="M13" s="86"/>
      <c r="N13" s="86"/>
      <c r="O13" s="86"/>
      <c r="P13" s="86"/>
      <c r="Q13" s="87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</row>
    <row r="14" spans="1:87" x14ac:dyDescent="0.25">
      <c r="A14" s="2"/>
      <c r="B14" s="2"/>
      <c r="C14" s="2"/>
      <c r="D14" s="2" t="s">
        <v>18</v>
      </c>
      <c r="E14" s="2"/>
      <c r="F14" s="2"/>
      <c r="G14" s="3"/>
      <c r="H14" s="3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</row>
    <row r="15" spans="1:87" x14ac:dyDescent="0.25">
      <c r="A15" s="2"/>
      <c r="B15" s="2"/>
      <c r="C15" s="2"/>
      <c r="D15" s="2" t="s">
        <v>19</v>
      </c>
      <c r="E15" s="2"/>
      <c r="F15" s="2"/>
      <c r="G15" s="5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</row>
    <row r="16" spans="1:87" x14ac:dyDescent="0.25">
      <c r="A16" s="2"/>
      <c r="B16" s="2"/>
      <c r="C16" s="2"/>
      <c r="D16" s="79" t="s">
        <v>72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</row>
    <row r="17" spans="1:87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</row>
    <row r="18" spans="1:87" x14ac:dyDescent="0.25">
      <c r="A18" s="2"/>
      <c r="B18" s="2"/>
      <c r="C18" s="2" t="s">
        <v>20</v>
      </c>
      <c r="D18" s="2"/>
      <c r="E18" s="2" t="s">
        <v>21</v>
      </c>
      <c r="F18" s="2"/>
      <c r="G18" s="2" t="s">
        <v>22</v>
      </c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</row>
    <row r="19" spans="1:87" x14ac:dyDescent="0.25">
      <c r="A19" s="2"/>
      <c r="B19" s="2"/>
      <c r="C19" s="2"/>
      <c r="D19" s="2"/>
      <c r="E19" s="2" t="s">
        <v>23</v>
      </c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</row>
    <row r="20" spans="1:87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</row>
    <row r="21" spans="1:87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</row>
    <row r="22" spans="1:87" x14ac:dyDescent="0.25">
      <c r="A22" s="2"/>
      <c r="B22" s="2"/>
      <c r="C22" s="2" t="s">
        <v>24</v>
      </c>
      <c r="D22" s="2"/>
      <c r="E22" s="2" t="s">
        <v>25</v>
      </c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</row>
    <row r="23" spans="1:87" x14ac:dyDescent="0.25">
      <c r="A23" s="2"/>
      <c r="B23" s="2"/>
      <c r="C23" s="2"/>
      <c r="D23" s="2"/>
      <c r="E23" s="2" t="s">
        <v>26</v>
      </c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</row>
    <row r="24" spans="1:87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</row>
    <row r="25" spans="1:87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</row>
    <row r="26" spans="1:87" x14ac:dyDescent="0.25">
      <c r="A26" s="2"/>
      <c r="B26" s="2"/>
      <c r="C26" s="2" t="s">
        <v>27</v>
      </c>
      <c r="D26" s="2"/>
      <c r="E26" s="79" t="s">
        <v>73</v>
      </c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</row>
    <row r="27" spans="1:87" x14ac:dyDescent="0.25">
      <c r="A27" s="2"/>
      <c r="B27" s="2"/>
      <c r="C27" s="2"/>
      <c r="D27" s="2"/>
      <c r="E27" s="2" t="s">
        <v>28</v>
      </c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</row>
    <row r="28" spans="1:87" x14ac:dyDescent="0.25">
      <c r="A28" s="2"/>
      <c r="B28" s="2"/>
      <c r="C28" s="2"/>
      <c r="D28" s="2"/>
      <c r="E28" s="2" t="s">
        <v>29</v>
      </c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</row>
    <row r="29" spans="1:87" x14ac:dyDescent="0.25">
      <c r="A29" s="2"/>
      <c r="B29" s="2"/>
      <c r="C29" s="2"/>
      <c r="D29" s="2"/>
      <c r="E29" s="7" t="s">
        <v>30</v>
      </c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</row>
    <row r="30" spans="1:87" x14ac:dyDescent="0.25">
      <c r="A30" s="2"/>
      <c r="B30" s="2"/>
      <c r="C30" s="2"/>
      <c r="D30" s="2"/>
      <c r="E30" s="2" t="s">
        <v>31</v>
      </c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</row>
    <row r="31" spans="1:87" x14ac:dyDescent="0.25">
      <c r="A31" s="2"/>
      <c r="B31" s="2"/>
      <c r="C31" s="2"/>
      <c r="D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</row>
    <row r="32" spans="1:87" x14ac:dyDescent="0.25">
      <c r="A32" s="2"/>
      <c r="B32" s="2"/>
      <c r="C32" s="79" t="s">
        <v>74</v>
      </c>
      <c r="D32" s="2"/>
      <c r="E32" s="77" t="s">
        <v>75</v>
      </c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</row>
    <row r="33" spans="1:87" x14ac:dyDescent="0.25">
      <c r="A33" s="2"/>
      <c r="B33" s="2"/>
      <c r="C33" s="79"/>
      <c r="D33" s="2"/>
      <c r="E33" s="77" t="s">
        <v>76</v>
      </c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</row>
    <row r="34" spans="1:87" x14ac:dyDescent="0.25">
      <c r="A34" s="2"/>
      <c r="B34" s="2"/>
      <c r="C34" s="79"/>
      <c r="D34" s="2"/>
      <c r="E34" s="88" t="s">
        <v>77</v>
      </c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</row>
    <row r="35" spans="1:87" x14ac:dyDescent="0.25">
      <c r="A35" s="2"/>
      <c r="B35" s="2"/>
      <c r="C35" s="2"/>
      <c r="D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</row>
    <row r="36" spans="1:87" x14ac:dyDescent="0.25">
      <c r="A36" s="2"/>
      <c r="B36" s="2"/>
      <c r="C36" s="2"/>
      <c r="D36" s="2"/>
      <c r="E36" s="2" t="s">
        <v>32</v>
      </c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</row>
    <row r="37" spans="1:87" x14ac:dyDescent="0.25">
      <c r="A37" s="2"/>
      <c r="B37" s="2"/>
      <c r="C37" s="2"/>
      <c r="D37" s="2"/>
      <c r="E37" s="2" t="s">
        <v>33</v>
      </c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</row>
    <row r="38" spans="1:87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</row>
    <row r="39" spans="1:87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</row>
    <row r="40" spans="1:87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</row>
    <row r="41" spans="1:87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</row>
    <row r="42" spans="1:87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</row>
    <row r="43" spans="1:87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</row>
    <row r="44" spans="1:87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</row>
    <row r="45" spans="1:87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</row>
    <row r="46" spans="1:87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</row>
    <row r="47" spans="1:87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</row>
    <row r="48" spans="1:87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</row>
    <row r="49" spans="1:87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</row>
    <row r="50" spans="1:87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</row>
    <row r="51" spans="1:87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</row>
    <row r="52" spans="1:8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</row>
    <row r="53" spans="1:8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</row>
    <row r="54" spans="1:87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</row>
    <row r="55" spans="1:87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</row>
    <row r="56" spans="1:87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</row>
    <row r="57" spans="1:87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</row>
    <row r="58" spans="1:87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</row>
    <row r="59" spans="1:87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</row>
    <row r="60" spans="1:87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</row>
    <row r="61" spans="1:87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</row>
    <row r="62" spans="1:87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</row>
    <row r="63" spans="1:87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</row>
    <row r="64" spans="1:87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</row>
    <row r="65" spans="1:87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</row>
    <row r="66" spans="1:87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</row>
    <row r="67" spans="1:87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</row>
    <row r="68" spans="1:87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</row>
    <row r="69" spans="1:87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</row>
    <row r="70" spans="1:87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</row>
    <row r="71" spans="1:87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</row>
    <row r="72" spans="1:87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</row>
    <row r="73" spans="1:87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</row>
    <row r="74" spans="1:87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</row>
    <row r="75" spans="1:87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</row>
    <row r="76" spans="1:87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</row>
    <row r="77" spans="1:87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</row>
    <row r="78" spans="1:87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</row>
    <row r="79" spans="1:87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</row>
    <row r="80" spans="1:87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</row>
    <row r="81" spans="1:87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</row>
    <row r="82" spans="1:87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</row>
    <row r="83" spans="1:87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</row>
    <row r="84" spans="1:87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</row>
    <row r="85" spans="1:87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</row>
    <row r="86" spans="1:87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</row>
    <row r="87" spans="1:87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</row>
    <row r="88" spans="1:87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</row>
    <row r="89" spans="1:87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</row>
    <row r="90" spans="1:87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</row>
    <row r="91" spans="1:87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</row>
    <row r="92" spans="1:87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</row>
    <row r="93" spans="1:87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</row>
    <row r="94" spans="1:87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</row>
    <row r="95" spans="1:87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</row>
    <row r="96" spans="1:87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</row>
    <row r="97" spans="1:87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</row>
    <row r="98" spans="1:87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</row>
    <row r="99" spans="1:87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</row>
    <row r="100" spans="1:87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</row>
    <row r="101" spans="1:87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</row>
    <row r="102" spans="1:87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</row>
    <row r="103" spans="1:87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</row>
    <row r="104" spans="1:87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</row>
    <row r="105" spans="1:87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</row>
    <row r="106" spans="1:87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</row>
    <row r="107" spans="1:87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</row>
    <row r="108" spans="1:87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</row>
    <row r="109" spans="1:87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</row>
    <row r="110" spans="1:87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</row>
    <row r="111" spans="1:87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</row>
    <row r="112" spans="1:87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</row>
    <row r="113" spans="1:87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</row>
    <row r="114" spans="1:87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</row>
    <row r="115" spans="1:87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</row>
    <row r="116" spans="1:87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</row>
    <row r="117" spans="1:87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</row>
    <row r="118" spans="1:87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</row>
    <row r="119" spans="1:87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</row>
    <row r="120" spans="1:87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</row>
    <row r="121" spans="1:87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</row>
    <row r="122" spans="1:87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</row>
    <row r="123" spans="1:87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</row>
    <row r="124" spans="1:87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</row>
    <row r="125" spans="1:87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</row>
    <row r="126" spans="1:87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</row>
    <row r="127" spans="1:87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</row>
    <row r="128" spans="1:87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</row>
    <row r="129" spans="1:87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</row>
    <row r="130" spans="1:87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</row>
    <row r="131" spans="1:87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</row>
    <row r="132" spans="1:87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</row>
    <row r="133" spans="1:87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</row>
    <row r="134" spans="1:87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</row>
    <row r="135" spans="1:87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</row>
    <row r="136" spans="1:87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</row>
    <row r="137" spans="1:87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</row>
    <row r="138" spans="1:87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</row>
    <row r="139" spans="1:87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</row>
    <row r="140" spans="1:87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</row>
    <row r="141" spans="1:87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</row>
    <row r="142" spans="1:87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</row>
    <row r="143" spans="1:87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</row>
    <row r="144" spans="1:87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</row>
    <row r="145" spans="1:87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</row>
    <row r="146" spans="1:87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</row>
    <row r="147" spans="1:87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</row>
    <row r="148" spans="1:87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</row>
    <row r="149" spans="1:87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</row>
    <row r="150" spans="1:87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</row>
    <row r="151" spans="1:87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</row>
    <row r="152" spans="1:87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</row>
    <row r="153" spans="1:87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</row>
    <row r="154" spans="1:87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</row>
    <row r="155" spans="1:87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</row>
    <row r="156" spans="1:87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</row>
    <row r="157" spans="1:87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</row>
    <row r="158" spans="1:87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</row>
    <row r="159" spans="1:87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</row>
    <row r="160" spans="1:87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</row>
    <row r="161" spans="1:87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</row>
    <row r="162" spans="1:87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</row>
    <row r="163" spans="1:87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</row>
    <row r="164" spans="1:87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  <c r="CB164" s="2"/>
      <c r="CC164" s="2"/>
      <c r="CD164" s="2"/>
      <c r="CE164" s="2"/>
      <c r="CF164" s="2"/>
      <c r="CG164" s="2"/>
      <c r="CH164" s="2"/>
      <c r="CI164" s="2"/>
    </row>
    <row r="165" spans="1:87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  <c r="BV165" s="2"/>
      <c r="BW165" s="2"/>
      <c r="BX165" s="2"/>
      <c r="BY165" s="2"/>
      <c r="BZ165" s="2"/>
      <c r="CA165" s="2"/>
      <c r="CB165" s="2"/>
      <c r="CC165" s="2"/>
      <c r="CD165" s="2"/>
      <c r="CE165" s="2"/>
      <c r="CF165" s="2"/>
      <c r="CG165" s="2"/>
      <c r="CH165" s="2"/>
      <c r="CI165" s="2"/>
    </row>
    <row r="166" spans="1:87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  <c r="CA166" s="2"/>
      <c r="CB166" s="2"/>
      <c r="CC166" s="2"/>
      <c r="CD166" s="2"/>
      <c r="CE166" s="2"/>
      <c r="CF166" s="2"/>
      <c r="CG166" s="2"/>
      <c r="CH166" s="2"/>
      <c r="CI166" s="2"/>
    </row>
    <row r="167" spans="1:87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</row>
    <row r="168" spans="1:87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  <c r="BV168" s="2"/>
      <c r="BW168" s="2"/>
      <c r="BX168" s="2"/>
      <c r="BY168" s="2"/>
      <c r="BZ168" s="2"/>
      <c r="CA168" s="2"/>
      <c r="CB168" s="2"/>
      <c r="CC168" s="2"/>
      <c r="CD168" s="2"/>
      <c r="CE168" s="2"/>
      <c r="CF168" s="2"/>
      <c r="CG168" s="2"/>
      <c r="CH168" s="2"/>
      <c r="CI168" s="2"/>
    </row>
    <row r="169" spans="1:87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  <c r="CB169" s="2"/>
      <c r="CC169" s="2"/>
      <c r="CD169" s="2"/>
      <c r="CE169" s="2"/>
      <c r="CF169" s="2"/>
      <c r="CG169" s="2"/>
      <c r="CH169" s="2"/>
      <c r="CI169" s="2"/>
    </row>
    <row r="170" spans="1:87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  <c r="BV170" s="2"/>
      <c r="BW170" s="2"/>
      <c r="BX170" s="2"/>
      <c r="BY170" s="2"/>
      <c r="BZ170" s="2"/>
      <c r="CA170" s="2"/>
      <c r="CB170" s="2"/>
      <c r="CC170" s="2"/>
      <c r="CD170" s="2"/>
      <c r="CE170" s="2"/>
      <c r="CF170" s="2"/>
      <c r="CG170" s="2"/>
      <c r="CH170" s="2"/>
      <c r="CI170" s="2"/>
    </row>
    <row r="171" spans="1:87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2"/>
      <c r="CG171" s="2"/>
      <c r="CH171" s="2"/>
      <c r="CI171" s="2"/>
    </row>
    <row r="172" spans="1:87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  <c r="BP172" s="2"/>
      <c r="BQ172" s="2"/>
      <c r="BR172" s="2"/>
      <c r="BS172" s="2"/>
      <c r="BT172" s="2"/>
      <c r="BU172" s="2"/>
      <c r="BV172" s="2"/>
      <c r="BW172" s="2"/>
      <c r="BX172" s="2"/>
      <c r="BY172" s="2"/>
      <c r="BZ172" s="2"/>
      <c r="CA172" s="2"/>
      <c r="CB172" s="2"/>
      <c r="CC172" s="2"/>
      <c r="CD172" s="2"/>
      <c r="CE172" s="2"/>
      <c r="CF172" s="2"/>
      <c r="CG172" s="2"/>
      <c r="CH172" s="2"/>
      <c r="CI172" s="2"/>
    </row>
    <row r="173" spans="1:87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  <c r="BP173" s="2"/>
      <c r="BQ173" s="2"/>
      <c r="BR173" s="2"/>
      <c r="BS173" s="2"/>
      <c r="BT173" s="2"/>
      <c r="BU173" s="2"/>
      <c r="BV173" s="2"/>
      <c r="BW173" s="2"/>
      <c r="BX173" s="2"/>
      <c r="BY173" s="2"/>
      <c r="BZ173" s="2"/>
      <c r="CA173" s="2"/>
      <c r="CB173" s="2"/>
      <c r="CC173" s="2"/>
      <c r="CD173" s="2"/>
      <c r="CE173" s="2"/>
      <c r="CF173" s="2"/>
      <c r="CG173" s="2"/>
      <c r="CH173" s="2"/>
      <c r="CI173" s="2"/>
    </row>
    <row r="174" spans="1:87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  <c r="BP174" s="2"/>
      <c r="BQ174" s="2"/>
      <c r="BR174" s="2"/>
      <c r="BS174" s="2"/>
      <c r="BT174" s="2"/>
      <c r="BU174" s="2"/>
      <c r="BV174" s="2"/>
      <c r="BW174" s="2"/>
      <c r="BX174" s="2"/>
      <c r="BY174" s="2"/>
      <c r="BZ174" s="2"/>
      <c r="CA174" s="2"/>
      <c r="CB174" s="2"/>
      <c r="CC174" s="2"/>
      <c r="CD174" s="2"/>
      <c r="CE174" s="2"/>
      <c r="CF174" s="2"/>
      <c r="CG174" s="2"/>
      <c r="CH174" s="2"/>
      <c r="CI174" s="2"/>
    </row>
    <row r="175" spans="1:87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"/>
      <c r="BP175" s="2"/>
      <c r="BQ175" s="2"/>
      <c r="BR175" s="2"/>
      <c r="BS175" s="2"/>
      <c r="BT175" s="2"/>
      <c r="BU175" s="2"/>
      <c r="BV175" s="2"/>
      <c r="BW175" s="2"/>
      <c r="BX175" s="2"/>
      <c r="BY175" s="2"/>
      <c r="BZ175" s="2"/>
      <c r="CA175" s="2"/>
      <c r="CB175" s="2"/>
      <c r="CC175" s="2"/>
      <c r="CD175" s="2"/>
      <c r="CE175" s="2"/>
      <c r="CF175" s="2"/>
      <c r="CG175" s="2"/>
      <c r="CH175" s="2"/>
      <c r="CI175" s="2"/>
    </row>
    <row r="176" spans="1:87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"/>
      <c r="BP176" s="2"/>
      <c r="BQ176" s="2"/>
      <c r="BR176" s="2"/>
      <c r="BS176" s="2"/>
      <c r="BT176" s="2"/>
      <c r="BU176" s="2"/>
      <c r="BV176" s="2"/>
      <c r="BW176" s="2"/>
      <c r="BX176" s="2"/>
      <c r="BY176" s="2"/>
      <c r="BZ176" s="2"/>
      <c r="CA176" s="2"/>
      <c r="CB176" s="2"/>
      <c r="CC176" s="2"/>
      <c r="CD176" s="2"/>
      <c r="CE176" s="2"/>
      <c r="CF176" s="2"/>
      <c r="CG176" s="2"/>
      <c r="CH176" s="2"/>
      <c r="CI176" s="2"/>
    </row>
    <row r="177" spans="1:87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"/>
      <c r="BP177" s="2"/>
      <c r="BQ177" s="2"/>
      <c r="BR177" s="2"/>
      <c r="BS177" s="2"/>
      <c r="BT177" s="2"/>
      <c r="BU177" s="2"/>
      <c r="BV177" s="2"/>
      <c r="BW177" s="2"/>
      <c r="BX177" s="2"/>
      <c r="BY177" s="2"/>
      <c r="BZ177" s="2"/>
      <c r="CA177" s="2"/>
      <c r="CB177" s="2"/>
      <c r="CC177" s="2"/>
      <c r="CD177" s="2"/>
      <c r="CE177" s="2"/>
      <c r="CF177" s="2"/>
      <c r="CG177" s="2"/>
      <c r="CH177" s="2"/>
      <c r="CI177" s="2"/>
    </row>
    <row r="178" spans="1:87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"/>
      <c r="BP178" s="2"/>
      <c r="BQ178" s="2"/>
      <c r="BR178" s="2"/>
      <c r="BS178" s="2"/>
      <c r="BT178" s="2"/>
      <c r="BU178" s="2"/>
      <c r="BV178" s="2"/>
      <c r="BW178" s="2"/>
      <c r="BX178" s="2"/>
      <c r="BY178" s="2"/>
      <c r="BZ178" s="2"/>
      <c r="CA178" s="2"/>
      <c r="CB178" s="2"/>
      <c r="CC178" s="2"/>
      <c r="CD178" s="2"/>
      <c r="CE178" s="2"/>
      <c r="CF178" s="2"/>
      <c r="CG178" s="2"/>
      <c r="CH178" s="2"/>
      <c r="CI178" s="2"/>
    </row>
    <row r="179" spans="1:87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"/>
      <c r="BP179" s="2"/>
      <c r="BQ179" s="2"/>
      <c r="BR179" s="2"/>
      <c r="BS179" s="2"/>
      <c r="BT179" s="2"/>
      <c r="BU179" s="2"/>
      <c r="BV179" s="2"/>
      <c r="BW179" s="2"/>
      <c r="BX179" s="2"/>
      <c r="BY179" s="2"/>
      <c r="BZ179" s="2"/>
      <c r="CA179" s="2"/>
      <c r="CB179" s="2"/>
      <c r="CC179" s="2"/>
      <c r="CD179" s="2"/>
      <c r="CE179" s="2"/>
      <c r="CF179" s="2"/>
      <c r="CG179" s="2"/>
      <c r="CH179" s="2"/>
      <c r="CI179" s="2"/>
    </row>
    <row r="180" spans="1:87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"/>
      <c r="BP180" s="2"/>
      <c r="BQ180" s="2"/>
      <c r="BR180" s="2"/>
      <c r="BS180" s="2"/>
      <c r="BT180" s="2"/>
      <c r="BU180" s="2"/>
      <c r="BV180" s="2"/>
      <c r="BW180" s="2"/>
      <c r="BX180" s="2"/>
      <c r="BY180" s="2"/>
      <c r="BZ180" s="2"/>
      <c r="CA180" s="2"/>
      <c r="CB180" s="2"/>
      <c r="CC180" s="2"/>
      <c r="CD180" s="2"/>
      <c r="CE180" s="2"/>
      <c r="CF180" s="2"/>
      <c r="CG180" s="2"/>
      <c r="CH180" s="2"/>
      <c r="CI180" s="2"/>
    </row>
    <row r="181" spans="1:87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"/>
      <c r="BP181" s="2"/>
      <c r="BQ181" s="2"/>
      <c r="BR181" s="2"/>
      <c r="BS181" s="2"/>
      <c r="BT181" s="2"/>
      <c r="BU181" s="2"/>
      <c r="BV181" s="2"/>
      <c r="BW181" s="2"/>
      <c r="BX181" s="2"/>
      <c r="BY181" s="2"/>
      <c r="BZ181" s="2"/>
      <c r="CA181" s="2"/>
      <c r="CB181" s="2"/>
      <c r="CC181" s="2"/>
      <c r="CD181" s="2"/>
      <c r="CE181" s="2"/>
      <c r="CF181" s="2"/>
      <c r="CG181" s="2"/>
      <c r="CH181" s="2"/>
      <c r="CI181" s="2"/>
    </row>
    <row r="182" spans="1:87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"/>
      <c r="BP182" s="2"/>
      <c r="BQ182" s="2"/>
      <c r="BR182" s="2"/>
      <c r="BS182" s="2"/>
      <c r="BT182" s="2"/>
      <c r="BU182" s="2"/>
      <c r="BV182" s="2"/>
      <c r="BW182" s="2"/>
      <c r="BX182" s="2"/>
      <c r="BY182" s="2"/>
      <c r="BZ182" s="2"/>
      <c r="CA182" s="2"/>
      <c r="CB182" s="2"/>
      <c r="CC182" s="2"/>
      <c r="CD182" s="2"/>
      <c r="CE182" s="2"/>
      <c r="CF182" s="2"/>
      <c r="CG182" s="2"/>
      <c r="CH182" s="2"/>
      <c r="CI182" s="2"/>
    </row>
    <row r="183" spans="1:87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"/>
      <c r="BP183" s="2"/>
      <c r="BQ183" s="2"/>
      <c r="BR183" s="2"/>
      <c r="BS183" s="2"/>
      <c r="BT183" s="2"/>
      <c r="BU183" s="2"/>
      <c r="BV183" s="2"/>
      <c r="BW183" s="2"/>
      <c r="BX183" s="2"/>
      <c r="BY183" s="2"/>
      <c r="BZ183" s="2"/>
      <c r="CA183" s="2"/>
      <c r="CB183" s="2"/>
      <c r="CC183" s="2"/>
      <c r="CD183" s="2"/>
      <c r="CE183" s="2"/>
      <c r="CF183" s="2"/>
      <c r="CG183" s="2"/>
      <c r="CH183" s="2"/>
      <c r="CI183" s="2"/>
    </row>
    <row r="184" spans="1:87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"/>
      <c r="BP184" s="2"/>
      <c r="BQ184" s="2"/>
      <c r="BR184" s="2"/>
      <c r="BS184" s="2"/>
      <c r="BT184" s="2"/>
      <c r="BU184" s="2"/>
      <c r="BV184" s="2"/>
      <c r="BW184" s="2"/>
      <c r="BX184" s="2"/>
      <c r="BY184" s="2"/>
      <c r="BZ184" s="2"/>
      <c r="CA184" s="2"/>
      <c r="CB184" s="2"/>
      <c r="CC184" s="2"/>
      <c r="CD184" s="2"/>
      <c r="CE184" s="2"/>
      <c r="CF184" s="2"/>
      <c r="CG184" s="2"/>
      <c r="CH184" s="2"/>
      <c r="CI184" s="2"/>
    </row>
    <row r="185" spans="1:87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"/>
      <c r="BP185" s="2"/>
      <c r="BQ185" s="2"/>
      <c r="BR185" s="2"/>
      <c r="BS185" s="2"/>
      <c r="BT185" s="2"/>
      <c r="BU185" s="2"/>
      <c r="BV185" s="2"/>
      <c r="BW185" s="2"/>
      <c r="BX185" s="2"/>
      <c r="BY185" s="2"/>
      <c r="BZ185" s="2"/>
      <c r="CA185" s="2"/>
      <c r="CB185" s="2"/>
      <c r="CC185" s="2"/>
      <c r="CD185" s="2"/>
      <c r="CE185" s="2"/>
      <c r="CF185" s="2"/>
      <c r="CG185" s="2"/>
      <c r="CH185" s="2"/>
      <c r="CI185" s="2"/>
    </row>
    <row r="186" spans="1:87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"/>
      <c r="BP186" s="2"/>
      <c r="BQ186" s="2"/>
      <c r="BR186" s="2"/>
      <c r="BS186" s="2"/>
      <c r="BT186" s="2"/>
      <c r="BU186" s="2"/>
      <c r="BV186" s="2"/>
      <c r="BW186" s="2"/>
      <c r="BX186" s="2"/>
      <c r="BY186" s="2"/>
      <c r="BZ186" s="2"/>
      <c r="CA186" s="2"/>
      <c r="CB186" s="2"/>
      <c r="CC186" s="2"/>
      <c r="CD186" s="2"/>
      <c r="CE186" s="2"/>
      <c r="CF186" s="2"/>
      <c r="CG186" s="2"/>
      <c r="CH186" s="2"/>
      <c r="CI186" s="2"/>
    </row>
    <row r="187" spans="1:87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  <c r="BP187" s="2"/>
      <c r="BQ187" s="2"/>
      <c r="BR187" s="2"/>
      <c r="BS187" s="2"/>
      <c r="BT187" s="2"/>
      <c r="BU187" s="2"/>
      <c r="BV187" s="2"/>
      <c r="BW187" s="2"/>
      <c r="BX187" s="2"/>
      <c r="BY187" s="2"/>
      <c r="BZ187" s="2"/>
      <c r="CA187" s="2"/>
      <c r="CB187" s="2"/>
      <c r="CC187" s="2"/>
      <c r="CD187" s="2"/>
      <c r="CE187" s="2"/>
      <c r="CF187" s="2"/>
      <c r="CG187" s="2"/>
      <c r="CH187" s="2"/>
      <c r="CI187" s="2"/>
    </row>
    <row r="188" spans="1:87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"/>
      <c r="BP188" s="2"/>
      <c r="BQ188" s="2"/>
      <c r="BR188" s="2"/>
      <c r="BS188" s="2"/>
      <c r="BT188" s="2"/>
      <c r="BU188" s="2"/>
      <c r="BV188" s="2"/>
      <c r="BW188" s="2"/>
      <c r="BX188" s="2"/>
      <c r="BY188" s="2"/>
      <c r="BZ188" s="2"/>
      <c r="CA188" s="2"/>
      <c r="CB188" s="2"/>
      <c r="CC188" s="2"/>
      <c r="CD188" s="2"/>
      <c r="CE188" s="2"/>
      <c r="CF188" s="2"/>
      <c r="CG188" s="2"/>
      <c r="CH188" s="2"/>
      <c r="CI188" s="2"/>
    </row>
    <row r="189" spans="1:87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  <c r="BP189" s="2"/>
      <c r="BQ189" s="2"/>
      <c r="BR189" s="2"/>
      <c r="BS189" s="2"/>
      <c r="BT189" s="2"/>
      <c r="BU189" s="2"/>
      <c r="BV189" s="2"/>
      <c r="BW189" s="2"/>
      <c r="BX189" s="2"/>
      <c r="BY189" s="2"/>
      <c r="BZ189" s="2"/>
      <c r="CA189" s="2"/>
      <c r="CB189" s="2"/>
      <c r="CC189" s="2"/>
      <c r="CD189" s="2"/>
      <c r="CE189" s="2"/>
      <c r="CF189" s="2"/>
      <c r="CG189" s="2"/>
      <c r="CH189" s="2"/>
      <c r="CI189" s="2"/>
    </row>
    <row r="190" spans="1:87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"/>
      <c r="BP190" s="2"/>
      <c r="BQ190" s="2"/>
      <c r="BR190" s="2"/>
      <c r="BS190" s="2"/>
      <c r="BT190" s="2"/>
      <c r="BU190" s="2"/>
      <c r="BV190" s="2"/>
      <c r="BW190" s="2"/>
      <c r="BX190" s="2"/>
      <c r="BY190" s="2"/>
      <c r="BZ190" s="2"/>
      <c r="CA190" s="2"/>
      <c r="CB190" s="2"/>
      <c r="CC190" s="2"/>
      <c r="CD190" s="2"/>
      <c r="CE190" s="2"/>
      <c r="CF190" s="2"/>
      <c r="CG190" s="2"/>
      <c r="CH190" s="2"/>
      <c r="CI190" s="2"/>
    </row>
    <row r="191" spans="1:87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"/>
      <c r="BP191" s="2"/>
      <c r="BQ191" s="2"/>
      <c r="BR191" s="2"/>
      <c r="BS191" s="2"/>
      <c r="BT191" s="2"/>
      <c r="BU191" s="2"/>
      <c r="BV191" s="2"/>
      <c r="BW191" s="2"/>
      <c r="BX191" s="2"/>
      <c r="BY191" s="2"/>
      <c r="BZ191" s="2"/>
      <c r="CA191" s="2"/>
      <c r="CB191" s="2"/>
      <c r="CC191" s="2"/>
      <c r="CD191" s="2"/>
      <c r="CE191" s="2"/>
      <c r="CF191" s="2"/>
      <c r="CG191" s="2"/>
      <c r="CH191" s="2"/>
      <c r="CI191" s="2"/>
    </row>
    <row r="192" spans="1:87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"/>
      <c r="BP192" s="2"/>
      <c r="BQ192" s="2"/>
      <c r="BR192" s="2"/>
      <c r="BS192" s="2"/>
      <c r="BT192" s="2"/>
      <c r="BU192" s="2"/>
      <c r="BV192" s="2"/>
      <c r="BW192" s="2"/>
      <c r="BX192" s="2"/>
      <c r="BY192" s="2"/>
      <c r="BZ192" s="2"/>
      <c r="CA192" s="2"/>
      <c r="CB192" s="2"/>
      <c r="CC192" s="2"/>
      <c r="CD192" s="2"/>
      <c r="CE192" s="2"/>
      <c r="CF192" s="2"/>
      <c r="CG192" s="2"/>
      <c r="CH192" s="2"/>
      <c r="CI192" s="2"/>
    </row>
    <row r="193" spans="1:87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"/>
      <c r="BP193" s="2"/>
      <c r="BQ193" s="2"/>
      <c r="BR193" s="2"/>
      <c r="BS193" s="2"/>
      <c r="BT193" s="2"/>
      <c r="BU193" s="2"/>
      <c r="BV193" s="2"/>
      <c r="BW193" s="2"/>
      <c r="BX193" s="2"/>
      <c r="BY193" s="2"/>
      <c r="BZ193" s="2"/>
      <c r="CA193" s="2"/>
      <c r="CB193" s="2"/>
      <c r="CC193" s="2"/>
      <c r="CD193" s="2"/>
      <c r="CE193" s="2"/>
      <c r="CF193" s="2"/>
      <c r="CG193" s="2"/>
      <c r="CH193" s="2"/>
      <c r="CI193" s="2"/>
    </row>
    <row r="194" spans="1:87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"/>
      <c r="BP194" s="2"/>
      <c r="BQ194" s="2"/>
      <c r="BR194" s="2"/>
      <c r="BS194" s="2"/>
      <c r="BT194" s="2"/>
      <c r="BU194" s="2"/>
      <c r="BV194" s="2"/>
      <c r="BW194" s="2"/>
      <c r="BX194" s="2"/>
      <c r="BY194" s="2"/>
      <c r="BZ194" s="2"/>
      <c r="CA194" s="2"/>
      <c r="CB194" s="2"/>
      <c r="CC194" s="2"/>
      <c r="CD194" s="2"/>
      <c r="CE194" s="2"/>
      <c r="CF194" s="2"/>
      <c r="CG194" s="2"/>
      <c r="CH194" s="2"/>
      <c r="CI194" s="2"/>
    </row>
    <row r="195" spans="1:87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"/>
      <c r="BP195" s="2"/>
      <c r="BQ195" s="2"/>
      <c r="BR195" s="2"/>
      <c r="BS195" s="2"/>
      <c r="BT195" s="2"/>
      <c r="BU195" s="2"/>
      <c r="BV195" s="2"/>
      <c r="BW195" s="2"/>
      <c r="BX195" s="2"/>
      <c r="BY195" s="2"/>
      <c r="BZ195" s="2"/>
      <c r="CA195" s="2"/>
      <c r="CB195" s="2"/>
      <c r="CC195" s="2"/>
      <c r="CD195" s="2"/>
      <c r="CE195" s="2"/>
      <c r="CF195" s="2"/>
      <c r="CG195" s="2"/>
      <c r="CH195" s="2"/>
      <c r="CI195" s="2"/>
    </row>
    <row r="196" spans="1:87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C196" s="2"/>
      <c r="CD196" s="2"/>
      <c r="CE196" s="2"/>
      <c r="CF196" s="2"/>
      <c r="CG196" s="2"/>
      <c r="CH196" s="2"/>
      <c r="CI196" s="2"/>
    </row>
    <row r="197" spans="1:87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2"/>
      <c r="CG197" s="2"/>
      <c r="CH197" s="2"/>
      <c r="CI197" s="2"/>
    </row>
    <row r="198" spans="1:87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  <c r="CC198" s="2"/>
      <c r="CD198" s="2"/>
      <c r="CE198" s="2"/>
      <c r="CF198" s="2"/>
      <c r="CG198" s="2"/>
      <c r="CH198" s="2"/>
      <c r="CI198" s="2"/>
    </row>
    <row r="199" spans="1:87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  <c r="CC199" s="2"/>
      <c r="CD199" s="2"/>
      <c r="CE199" s="2"/>
      <c r="CF199" s="2"/>
      <c r="CG199" s="2"/>
      <c r="CH199" s="2"/>
      <c r="CI199" s="2"/>
    </row>
    <row r="200" spans="1:87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  <c r="CA200" s="2"/>
      <c r="CB200" s="2"/>
      <c r="CC200" s="2"/>
      <c r="CD200" s="2"/>
      <c r="CE200" s="2"/>
      <c r="CF200" s="2"/>
      <c r="CG200" s="2"/>
      <c r="CH200" s="2"/>
      <c r="CI200" s="2"/>
    </row>
    <row r="201" spans="1:87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  <c r="BP201" s="2"/>
      <c r="BQ201" s="2"/>
      <c r="BR201" s="2"/>
      <c r="BS201" s="2"/>
      <c r="BT201" s="2"/>
      <c r="BU201" s="2"/>
      <c r="BV201" s="2"/>
      <c r="BW201" s="2"/>
      <c r="BX201" s="2"/>
      <c r="BY201" s="2"/>
      <c r="BZ201" s="2"/>
      <c r="CA201" s="2"/>
      <c r="CB201" s="2"/>
      <c r="CC201" s="2"/>
      <c r="CD201" s="2"/>
      <c r="CE201" s="2"/>
      <c r="CF201" s="2"/>
      <c r="CG201" s="2"/>
      <c r="CH201" s="2"/>
      <c r="CI201" s="2"/>
    </row>
    <row r="202" spans="1:87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  <c r="CA202" s="2"/>
      <c r="CB202" s="2"/>
      <c r="CC202" s="2"/>
      <c r="CD202" s="2"/>
      <c r="CE202" s="2"/>
      <c r="CF202" s="2"/>
      <c r="CG202" s="2"/>
      <c r="CH202" s="2"/>
      <c r="CI202" s="2"/>
    </row>
    <row r="203" spans="1:87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  <c r="CA203" s="2"/>
      <c r="CB203" s="2"/>
      <c r="CC203" s="2"/>
      <c r="CD203" s="2"/>
      <c r="CE203" s="2"/>
      <c r="CF203" s="2"/>
      <c r="CG203" s="2"/>
      <c r="CH203" s="2"/>
      <c r="CI203" s="2"/>
    </row>
    <row r="204" spans="1:87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  <c r="BW204" s="2"/>
      <c r="BX204" s="2"/>
      <c r="BY204" s="2"/>
      <c r="BZ204" s="2"/>
      <c r="CA204" s="2"/>
      <c r="CB204" s="2"/>
      <c r="CC204" s="2"/>
      <c r="CD204" s="2"/>
      <c r="CE204" s="2"/>
      <c r="CF204" s="2"/>
      <c r="CG204" s="2"/>
      <c r="CH204" s="2"/>
      <c r="CI204" s="2"/>
    </row>
    <row r="205" spans="1:87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  <c r="CA205" s="2"/>
      <c r="CB205" s="2"/>
      <c r="CC205" s="2"/>
      <c r="CD205" s="2"/>
      <c r="CE205" s="2"/>
      <c r="CF205" s="2"/>
      <c r="CG205" s="2"/>
      <c r="CH205" s="2"/>
      <c r="CI205" s="2"/>
    </row>
    <row r="206" spans="1:87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2"/>
      <c r="BN206" s="2"/>
      <c r="BO206" s="2"/>
      <c r="BP206" s="2"/>
      <c r="BQ206" s="2"/>
      <c r="BR206" s="2"/>
      <c r="BS206" s="2"/>
      <c r="BT206" s="2"/>
      <c r="BU206" s="2"/>
      <c r="BV206" s="2"/>
      <c r="BW206" s="2"/>
      <c r="BX206" s="2"/>
      <c r="BY206" s="2"/>
      <c r="BZ206" s="2"/>
      <c r="CA206" s="2"/>
      <c r="CB206" s="2"/>
      <c r="CC206" s="2"/>
      <c r="CD206" s="2"/>
      <c r="CE206" s="2"/>
      <c r="CF206" s="2"/>
      <c r="CG206" s="2"/>
      <c r="CH206" s="2"/>
      <c r="CI206" s="2"/>
    </row>
    <row r="207" spans="1:87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"/>
      <c r="BP207" s="2"/>
      <c r="BQ207" s="2"/>
      <c r="BR207" s="2"/>
      <c r="BS207" s="2"/>
      <c r="BT207" s="2"/>
      <c r="BU207" s="2"/>
      <c r="BV207" s="2"/>
      <c r="BW207" s="2"/>
      <c r="BX207" s="2"/>
      <c r="BY207" s="2"/>
      <c r="BZ207" s="2"/>
      <c r="CA207" s="2"/>
      <c r="CB207" s="2"/>
      <c r="CC207" s="2"/>
      <c r="CD207" s="2"/>
      <c r="CE207" s="2"/>
      <c r="CF207" s="2"/>
      <c r="CG207" s="2"/>
      <c r="CH207" s="2"/>
      <c r="CI207" s="2"/>
    </row>
    <row r="208" spans="1:87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2"/>
      <c r="BN208" s="2"/>
      <c r="BO208" s="2"/>
      <c r="BP208" s="2"/>
      <c r="BQ208" s="2"/>
      <c r="BR208" s="2"/>
      <c r="BS208" s="2"/>
      <c r="BT208" s="2"/>
      <c r="BU208" s="2"/>
      <c r="BV208" s="2"/>
      <c r="BW208" s="2"/>
      <c r="BX208" s="2"/>
      <c r="BY208" s="2"/>
      <c r="BZ208" s="2"/>
      <c r="CA208" s="2"/>
      <c r="CB208" s="2"/>
      <c r="CC208" s="2"/>
      <c r="CD208" s="2"/>
      <c r="CE208" s="2"/>
      <c r="CF208" s="2"/>
      <c r="CG208" s="2"/>
      <c r="CH208" s="2"/>
      <c r="CI208" s="2"/>
    </row>
    <row r="209" spans="1:87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"/>
      <c r="BP209" s="2"/>
      <c r="BQ209" s="2"/>
      <c r="BR209" s="2"/>
      <c r="BS209" s="2"/>
      <c r="BT209" s="2"/>
      <c r="BU209" s="2"/>
      <c r="BV209" s="2"/>
      <c r="BW209" s="2"/>
      <c r="BX209" s="2"/>
      <c r="BY209" s="2"/>
      <c r="BZ209" s="2"/>
      <c r="CA209" s="2"/>
      <c r="CB209" s="2"/>
      <c r="CC209" s="2"/>
      <c r="CD209" s="2"/>
      <c r="CE209" s="2"/>
      <c r="CF209" s="2"/>
      <c r="CG209" s="2"/>
      <c r="CH209" s="2"/>
      <c r="CI209" s="2"/>
    </row>
    <row r="210" spans="1:87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2"/>
      <c r="BN210" s="2"/>
      <c r="BO210" s="2"/>
      <c r="BP210" s="2"/>
      <c r="BQ210" s="2"/>
      <c r="BR210" s="2"/>
      <c r="BS210" s="2"/>
      <c r="BT210" s="2"/>
      <c r="BU210" s="2"/>
      <c r="BV210" s="2"/>
      <c r="BW210" s="2"/>
      <c r="BX210" s="2"/>
      <c r="BY210" s="2"/>
      <c r="BZ210" s="2"/>
      <c r="CA210" s="2"/>
      <c r="CB210" s="2"/>
      <c r="CC210" s="2"/>
      <c r="CD210" s="2"/>
      <c r="CE210" s="2"/>
      <c r="CF210" s="2"/>
      <c r="CG210" s="2"/>
      <c r="CH210" s="2"/>
      <c r="CI210" s="2"/>
    </row>
    <row r="211" spans="1:87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"/>
      <c r="BP211" s="2"/>
      <c r="BQ211" s="2"/>
      <c r="BR211" s="2"/>
      <c r="BS211" s="2"/>
      <c r="BT211" s="2"/>
      <c r="BU211" s="2"/>
      <c r="BV211" s="2"/>
      <c r="BW211" s="2"/>
      <c r="BX211" s="2"/>
      <c r="BY211" s="2"/>
      <c r="BZ211" s="2"/>
      <c r="CA211" s="2"/>
      <c r="CB211" s="2"/>
      <c r="CC211" s="2"/>
      <c r="CD211" s="2"/>
      <c r="CE211" s="2"/>
      <c r="CF211" s="2"/>
      <c r="CG211" s="2"/>
      <c r="CH211" s="2"/>
      <c r="CI211" s="2"/>
    </row>
    <row r="212" spans="1:87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"/>
      <c r="BP212" s="2"/>
      <c r="BQ212" s="2"/>
      <c r="BR212" s="2"/>
      <c r="BS212" s="2"/>
      <c r="BT212" s="2"/>
      <c r="BU212" s="2"/>
      <c r="BV212" s="2"/>
      <c r="BW212" s="2"/>
      <c r="BX212" s="2"/>
      <c r="BY212" s="2"/>
      <c r="BZ212" s="2"/>
      <c r="CA212" s="2"/>
      <c r="CB212" s="2"/>
      <c r="CC212" s="2"/>
      <c r="CD212" s="2"/>
      <c r="CE212" s="2"/>
      <c r="CF212" s="2"/>
      <c r="CG212" s="2"/>
      <c r="CH212" s="2"/>
      <c r="CI212" s="2"/>
    </row>
    <row r="213" spans="1:87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"/>
      <c r="BP213" s="2"/>
      <c r="BQ213" s="2"/>
      <c r="BR213" s="2"/>
      <c r="BS213" s="2"/>
      <c r="BT213" s="2"/>
      <c r="BU213" s="2"/>
      <c r="BV213" s="2"/>
      <c r="BW213" s="2"/>
      <c r="BX213" s="2"/>
      <c r="BY213" s="2"/>
      <c r="BZ213" s="2"/>
      <c r="CA213" s="2"/>
      <c r="CB213" s="2"/>
      <c r="CC213" s="2"/>
      <c r="CD213" s="2"/>
      <c r="CE213" s="2"/>
      <c r="CF213" s="2"/>
      <c r="CG213" s="2"/>
      <c r="CH213" s="2"/>
      <c r="CI213" s="2"/>
    </row>
    <row r="214" spans="1:87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"/>
      <c r="BP214" s="2"/>
      <c r="BQ214" s="2"/>
      <c r="BR214" s="2"/>
      <c r="BS214" s="2"/>
      <c r="BT214" s="2"/>
      <c r="BU214" s="2"/>
      <c r="BV214" s="2"/>
      <c r="BW214" s="2"/>
      <c r="BX214" s="2"/>
      <c r="BY214" s="2"/>
      <c r="BZ214" s="2"/>
      <c r="CA214" s="2"/>
      <c r="CB214" s="2"/>
      <c r="CC214" s="2"/>
      <c r="CD214" s="2"/>
      <c r="CE214" s="2"/>
      <c r="CF214" s="2"/>
      <c r="CG214" s="2"/>
      <c r="CH214" s="2"/>
      <c r="CI214" s="2"/>
    </row>
    <row r="215" spans="1:87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"/>
      <c r="BP215" s="2"/>
      <c r="BQ215" s="2"/>
      <c r="BR215" s="2"/>
      <c r="BS215" s="2"/>
      <c r="BT215" s="2"/>
      <c r="BU215" s="2"/>
      <c r="BV215" s="2"/>
      <c r="BW215" s="2"/>
      <c r="BX215" s="2"/>
      <c r="BY215" s="2"/>
      <c r="BZ215" s="2"/>
      <c r="CA215" s="2"/>
      <c r="CB215" s="2"/>
      <c r="CC215" s="2"/>
      <c r="CD215" s="2"/>
      <c r="CE215" s="2"/>
      <c r="CF215" s="2"/>
      <c r="CG215" s="2"/>
      <c r="CH215" s="2"/>
      <c r="CI215" s="2"/>
    </row>
    <row r="216" spans="1:87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"/>
      <c r="BP216" s="2"/>
      <c r="BQ216" s="2"/>
      <c r="BR216" s="2"/>
      <c r="BS216" s="2"/>
      <c r="BT216" s="2"/>
      <c r="BU216" s="2"/>
      <c r="BV216" s="2"/>
      <c r="BW216" s="2"/>
      <c r="BX216" s="2"/>
      <c r="BY216" s="2"/>
      <c r="BZ216" s="2"/>
      <c r="CA216" s="2"/>
      <c r="CB216" s="2"/>
      <c r="CC216" s="2"/>
      <c r="CD216" s="2"/>
      <c r="CE216" s="2"/>
      <c r="CF216" s="2"/>
      <c r="CG216" s="2"/>
      <c r="CH216" s="2"/>
      <c r="CI216" s="2"/>
    </row>
    <row r="217" spans="1:87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"/>
      <c r="BP217" s="2"/>
      <c r="BQ217" s="2"/>
      <c r="BR217" s="2"/>
      <c r="BS217" s="2"/>
      <c r="BT217" s="2"/>
      <c r="BU217" s="2"/>
      <c r="BV217" s="2"/>
      <c r="BW217" s="2"/>
      <c r="BX217" s="2"/>
      <c r="BY217" s="2"/>
      <c r="BZ217" s="2"/>
      <c r="CA217" s="2"/>
      <c r="CB217" s="2"/>
      <c r="CC217" s="2"/>
      <c r="CD217" s="2"/>
      <c r="CE217" s="2"/>
      <c r="CF217" s="2"/>
      <c r="CG217" s="2"/>
      <c r="CH217" s="2"/>
      <c r="CI217" s="2"/>
    </row>
    <row r="218" spans="1:87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"/>
      <c r="BP218" s="2"/>
      <c r="BQ218" s="2"/>
      <c r="BR218" s="2"/>
      <c r="BS218" s="2"/>
      <c r="BT218" s="2"/>
      <c r="BU218" s="2"/>
      <c r="BV218" s="2"/>
      <c r="BW218" s="2"/>
      <c r="BX218" s="2"/>
      <c r="BY218" s="2"/>
      <c r="BZ218" s="2"/>
      <c r="CA218" s="2"/>
      <c r="CB218" s="2"/>
      <c r="CC218" s="2"/>
      <c r="CD218" s="2"/>
      <c r="CE218" s="2"/>
      <c r="CF218" s="2"/>
      <c r="CG218" s="2"/>
      <c r="CH218" s="2"/>
      <c r="CI218" s="2"/>
    </row>
    <row r="219" spans="1:87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2"/>
      <c r="BN219" s="2"/>
      <c r="BO219" s="2"/>
      <c r="BP219" s="2"/>
      <c r="BQ219" s="2"/>
      <c r="BR219" s="2"/>
      <c r="BS219" s="2"/>
      <c r="BT219" s="2"/>
      <c r="BU219" s="2"/>
      <c r="BV219" s="2"/>
      <c r="BW219" s="2"/>
      <c r="BX219" s="2"/>
      <c r="BY219" s="2"/>
      <c r="BZ219" s="2"/>
      <c r="CA219" s="2"/>
      <c r="CB219" s="2"/>
      <c r="CC219" s="2"/>
      <c r="CD219" s="2"/>
      <c r="CE219" s="2"/>
      <c r="CF219" s="2"/>
      <c r="CG219" s="2"/>
      <c r="CH219" s="2"/>
      <c r="CI219" s="2"/>
    </row>
    <row r="220" spans="1:87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  <c r="BJ220" s="2"/>
      <c r="BK220" s="2"/>
      <c r="BL220" s="2"/>
      <c r="BM220" s="2"/>
      <c r="BN220" s="2"/>
      <c r="BO220" s="2"/>
      <c r="BP220" s="2"/>
      <c r="BQ220" s="2"/>
      <c r="BR220" s="2"/>
      <c r="BS220" s="2"/>
      <c r="BT220" s="2"/>
      <c r="BU220" s="2"/>
      <c r="BV220" s="2"/>
      <c r="BW220" s="2"/>
      <c r="BX220" s="2"/>
      <c r="BY220" s="2"/>
      <c r="BZ220" s="2"/>
      <c r="CA220" s="2"/>
      <c r="CB220" s="2"/>
      <c r="CC220" s="2"/>
      <c r="CD220" s="2"/>
      <c r="CE220" s="2"/>
      <c r="CF220" s="2"/>
      <c r="CG220" s="2"/>
      <c r="CH220" s="2"/>
      <c r="CI220" s="2"/>
    </row>
    <row r="221" spans="1:87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2"/>
      <c r="BN221" s="2"/>
      <c r="BO221" s="2"/>
      <c r="BP221" s="2"/>
      <c r="BQ221" s="2"/>
      <c r="BR221" s="2"/>
      <c r="BS221" s="2"/>
      <c r="BT221" s="2"/>
      <c r="BU221" s="2"/>
      <c r="BV221" s="2"/>
      <c r="BW221" s="2"/>
      <c r="BX221" s="2"/>
      <c r="BY221" s="2"/>
      <c r="BZ221" s="2"/>
      <c r="CA221" s="2"/>
      <c r="CB221" s="2"/>
      <c r="CC221" s="2"/>
      <c r="CD221" s="2"/>
      <c r="CE221" s="2"/>
      <c r="CF221" s="2"/>
      <c r="CG221" s="2"/>
      <c r="CH221" s="2"/>
      <c r="CI221" s="2"/>
    </row>
    <row r="222" spans="1:87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2"/>
      <c r="BN222" s="2"/>
      <c r="BO222" s="2"/>
      <c r="BP222" s="2"/>
      <c r="BQ222" s="2"/>
      <c r="BR222" s="2"/>
      <c r="BS222" s="2"/>
      <c r="BT222" s="2"/>
      <c r="BU222" s="2"/>
      <c r="BV222" s="2"/>
      <c r="BW222" s="2"/>
      <c r="BX222" s="2"/>
      <c r="BY222" s="2"/>
      <c r="BZ222" s="2"/>
      <c r="CA222" s="2"/>
      <c r="CB222" s="2"/>
      <c r="CC222" s="2"/>
      <c r="CD222" s="2"/>
      <c r="CE222" s="2"/>
      <c r="CF222" s="2"/>
      <c r="CG222" s="2"/>
      <c r="CH222" s="2"/>
      <c r="CI222" s="2"/>
    </row>
    <row r="223" spans="1:87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2"/>
      <c r="BN223" s="2"/>
      <c r="BO223" s="2"/>
      <c r="BP223" s="2"/>
      <c r="BQ223" s="2"/>
      <c r="BR223" s="2"/>
      <c r="BS223" s="2"/>
      <c r="BT223" s="2"/>
      <c r="BU223" s="2"/>
      <c r="BV223" s="2"/>
      <c r="BW223" s="2"/>
      <c r="BX223" s="2"/>
      <c r="BY223" s="2"/>
      <c r="BZ223" s="2"/>
      <c r="CA223" s="2"/>
      <c r="CB223" s="2"/>
      <c r="CC223" s="2"/>
      <c r="CD223" s="2"/>
      <c r="CE223" s="2"/>
      <c r="CF223" s="2"/>
      <c r="CG223" s="2"/>
      <c r="CH223" s="2"/>
      <c r="CI223" s="2"/>
    </row>
    <row r="224" spans="1:87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"/>
      <c r="BP224" s="2"/>
      <c r="BQ224" s="2"/>
      <c r="BR224" s="2"/>
      <c r="BS224" s="2"/>
      <c r="BT224" s="2"/>
      <c r="BU224" s="2"/>
      <c r="BV224" s="2"/>
      <c r="BW224" s="2"/>
      <c r="BX224" s="2"/>
      <c r="BY224" s="2"/>
      <c r="BZ224" s="2"/>
      <c r="CA224" s="2"/>
      <c r="CB224" s="2"/>
      <c r="CC224" s="2"/>
      <c r="CD224" s="2"/>
      <c r="CE224" s="2"/>
      <c r="CF224" s="2"/>
      <c r="CG224" s="2"/>
      <c r="CH224" s="2"/>
      <c r="CI224" s="2"/>
    </row>
    <row r="225" spans="1:87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2"/>
      <c r="BN225" s="2"/>
      <c r="BO225" s="2"/>
      <c r="BP225" s="2"/>
      <c r="BQ225" s="2"/>
      <c r="BR225" s="2"/>
      <c r="BS225" s="2"/>
      <c r="BT225" s="2"/>
      <c r="BU225" s="2"/>
      <c r="BV225" s="2"/>
      <c r="BW225" s="2"/>
      <c r="BX225" s="2"/>
      <c r="BY225" s="2"/>
      <c r="BZ225" s="2"/>
      <c r="CA225" s="2"/>
      <c r="CB225" s="2"/>
      <c r="CC225" s="2"/>
      <c r="CD225" s="2"/>
      <c r="CE225" s="2"/>
      <c r="CF225" s="2"/>
      <c r="CG225" s="2"/>
      <c r="CH225" s="2"/>
      <c r="CI225" s="2"/>
    </row>
    <row r="226" spans="1:87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2"/>
      <c r="BN226" s="2"/>
      <c r="BO226" s="2"/>
      <c r="BP226" s="2"/>
      <c r="BQ226" s="2"/>
      <c r="BR226" s="2"/>
      <c r="BS226" s="2"/>
      <c r="BT226" s="2"/>
      <c r="BU226" s="2"/>
      <c r="BV226" s="2"/>
      <c r="BW226" s="2"/>
      <c r="BX226" s="2"/>
      <c r="BY226" s="2"/>
      <c r="BZ226" s="2"/>
      <c r="CA226" s="2"/>
      <c r="CB226" s="2"/>
      <c r="CC226" s="2"/>
      <c r="CD226" s="2"/>
      <c r="CE226" s="2"/>
      <c r="CF226" s="2"/>
      <c r="CG226" s="2"/>
      <c r="CH226" s="2"/>
      <c r="CI226" s="2"/>
    </row>
    <row r="227" spans="1:87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2"/>
      <c r="BN227" s="2"/>
      <c r="BO227" s="2"/>
      <c r="BP227" s="2"/>
      <c r="BQ227" s="2"/>
      <c r="BR227" s="2"/>
      <c r="BS227" s="2"/>
      <c r="BT227" s="2"/>
      <c r="BU227" s="2"/>
      <c r="BV227" s="2"/>
      <c r="BW227" s="2"/>
      <c r="BX227" s="2"/>
      <c r="BY227" s="2"/>
      <c r="BZ227" s="2"/>
      <c r="CA227" s="2"/>
      <c r="CB227" s="2"/>
      <c r="CC227" s="2"/>
      <c r="CD227" s="2"/>
      <c r="CE227" s="2"/>
      <c r="CF227" s="2"/>
      <c r="CG227" s="2"/>
      <c r="CH227" s="2"/>
      <c r="CI227" s="2"/>
    </row>
    <row r="228" spans="1:87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2"/>
      <c r="BN228" s="2"/>
      <c r="BO228" s="2"/>
      <c r="BP228" s="2"/>
      <c r="BQ228" s="2"/>
      <c r="BR228" s="2"/>
      <c r="BS228" s="2"/>
      <c r="BT228" s="2"/>
      <c r="BU228" s="2"/>
      <c r="BV228" s="2"/>
      <c r="BW228" s="2"/>
      <c r="BX228" s="2"/>
      <c r="BY228" s="2"/>
      <c r="BZ228" s="2"/>
      <c r="CA228" s="2"/>
      <c r="CB228" s="2"/>
      <c r="CC228" s="2"/>
      <c r="CD228" s="2"/>
      <c r="CE228" s="2"/>
      <c r="CF228" s="2"/>
      <c r="CG228" s="2"/>
      <c r="CH228" s="2"/>
      <c r="CI228" s="2"/>
    </row>
    <row r="229" spans="1:87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2"/>
      <c r="BN229" s="2"/>
      <c r="BO229" s="2"/>
      <c r="BP229" s="2"/>
      <c r="BQ229" s="2"/>
      <c r="BR229" s="2"/>
      <c r="BS229" s="2"/>
      <c r="BT229" s="2"/>
      <c r="BU229" s="2"/>
      <c r="BV229" s="2"/>
      <c r="BW229" s="2"/>
      <c r="BX229" s="2"/>
      <c r="BY229" s="2"/>
      <c r="BZ229" s="2"/>
      <c r="CA229" s="2"/>
      <c r="CB229" s="2"/>
      <c r="CC229" s="2"/>
      <c r="CD229" s="2"/>
      <c r="CE229" s="2"/>
      <c r="CF229" s="2"/>
      <c r="CG229" s="2"/>
      <c r="CH229" s="2"/>
      <c r="CI229" s="2"/>
    </row>
    <row r="230" spans="1:87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"/>
      <c r="BP230" s="2"/>
      <c r="BQ230" s="2"/>
      <c r="BR230" s="2"/>
      <c r="BS230" s="2"/>
      <c r="BT230" s="2"/>
      <c r="BU230" s="2"/>
      <c r="BV230" s="2"/>
      <c r="BW230" s="2"/>
      <c r="BX230" s="2"/>
      <c r="BY230" s="2"/>
      <c r="BZ230" s="2"/>
      <c r="CA230" s="2"/>
      <c r="CB230" s="2"/>
      <c r="CC230" s="2"/>
      <c r="CD230" s="2"/>
      <c r="CE230" s="2"/>
      <c r="CF230" s="2"/>
      <c r="CG230" s="2"/>
      <c r="CH230" s="2"/>
      <c r="CI230" s="2"/>
    </row>
    <row r="231" spans="1:87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"/>
      <c r="BP231" s="2"/>
      <c r="BQ231" s="2"/>
      <c r="BR231" s="2"/>
      <c r="BS231" s="2"/>
      <c r="BT231" s="2"/>
      <c r="BU231" s="2"/>
      <c r="BV231" s="2"/>
      <c r="BW231" s="2"/>
      <c r="BX231" s="2"/>
      <c r="BY231" s="2"/>
      <c r="BZ231" s="2"/>
      <c r="CA231" s="2"/>
      <c r="CB231" s="2"/>
      <c r="CC231" s="2"/>
      <c r="CD231" s="2"/>
      <c r="CE231" s="2"/>
      <c r="CF231" s="2"/>
      <c r="CG231" s="2"/>
      <c r="CH231" s="2"/>
      <c r="CI231" s="2"/>
    </row>
    <row r="232" spans="1:87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"/>
      <c r="BP232" s="2"/>
      <c r="BQ232" s="2"/>
      <c r="BR232" s="2"/>
      <c r="BS232" s="2"/>
      <c r="BT232" s="2"/>
      <c r="BU232" s="2"/>
      <c r="BV232" s="2"/>
      <c r="BW232" s="2"/>
      <c r="BX232" s="2"/>
      <c r="BY232" s="2"/>
      <c r="BZ232" s="2"/>
      <c r="CA232" s="2"/>
      <c r="CB232" s="2"/>
      <c r="CC232" s="2"/>
      <c r="CD232" s="2"/>
      <c r="CE232" s="2"/>
      <c r="CF232" s="2"/>
      <c r="CG232" s="2"/>
      <c r="CH232" s="2"/>
      <c r="CI232" s="2"/>
    </row>
    <row r="233" spans="1:87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2"/>
      <c r="BN233" s="2"/>
      <c r="BO233" s="2"/>
      <c r="BP233" s="2"/>
      <c r="BQ233" s="2"/>
      <c r="BR233" s="2"/>
      <c r="BS233" s="2"/>
      <c r="BT233" s="2"/>
      <c r="BU233" s="2"/>
      <c r="BV233" s="2"/>
      <c r="BW233" s="2"/>
      <c r="BX233" s="2"/>
      <c r="BY233" s="2"/>
      <c r="BZ233" s="2"/>
      <c r="CA233" s="2"/>
      <c r="CB233" s="2"/>
      <c r="CC233" s="2"/>
      <c r="CD233" s="2"/>
      <c r="CE233" s="2"/>
      <c r="CF233" s="2"/>
      <c r="CG233" s="2"/>
      <c r="CH233" s="2"/>
      <c r="CI233" s="2"/>
    </row>
    <row r="234" spans="1:87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2"/>
      <c r="BN234" s="2"/>
      <c r="BO234" s="2"/>
      <c r="BP234" s="2"/>
      <c r="BQ234" s="2"/>
      <c r="BR234" s="2"/>
      <c r="BS234" s="2"/>
      <c r="BT234" s="2"/>
      <c r="BU234" s="2"/>
      <c r="BV234" s="2"/>
      <c r="BW234" s="2"/>
      <c r="BX234" s="2"/>
      <c r="BY234" s="2"/>
      <c r="BZ234" s="2"/>
      <c r="CA234" s="2"/>
      <c r="CB234" s="2"/>
      <c r="CC234" s="2"/>
      <c r="CD234" s="2"/>
      <c r="CE234" s="2"/>
      <c r="CF234" s="2"/>
      <c r="CG234" s="2"/>
      <c r="CH234" s="2"/>
      <c r="CI234" s="2"/>
    </row>
    <row r="235" spans="1:87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2"/>
      <c r="BN235" s="2"/>
      <c r="BO235" s="2"/>
      <c r="BP235" s="2"/>
      <c r="BQ235" s="2"/>
      <c r="BR235" s="2"/>
      <c r="BS235" s="2"/>
      <c r="BT235" s="2"/>
      <c r="BU235" s="2"/>
      <c r="BV235" s="2"/>
      <c r="BW235" s="2"/>
      <c r="BX235" s="2"/>
      <c r="BY235" s="2"/>
      <c r="BZ235" s="2"/>
      <c r="CA235" s="2"/>
      <c r="CB235" s="2"/>
      <c r="CC235" s="2"/>
      <c r="CD235" s="2"/>
      <c r="CE235" s="2"/>
      <c r="CF235" s="2"/>
      <c r="CG235" s="2"/>
      <c r="CH235" s="2"/>
      <c r="CI235" s="2"/>
    </row>
    <row r="236" spans="1:87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"/>
      <c r="BP236" s="2"/>
      <c r="BQ236" s="2"/>
      <c r="BR236" s="2"/>
      <c r="BS236" s="2"/>
      <c r="BT236" s="2"/>
      <c r="BU236" s="2"/>
      <c r="BV236" s="2"/>
      <c r="BW236" s="2"/>
      <c r="BX236" s="2"/>
      <c r="BY236" s="2"/>
      <c r="BZ236" s="2"/>
      <c r="CA236" s="2"/>
      <c r="CB236" s="2"/>
      <c r="CC236" s="2"/>
      <c r="CD236" s="2"/>
      <c r="CE236" s="2"/>
      <c r="CF236" s="2"/>
      <c r="CG236" s="2"/>
      <c r="CH236" s="2"/>
      <c r="CI236" s="2"/>
    </row>
    <row r="237" spans="1:87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2"/>
      <c r="BN237" s="2"/>
      <c r="BO237" s="2"/>
      <c r="BP237" s="2"/>
      <c r="BQ237" s="2"/>
      <c r="BR237" s="2"/>
      <c r="BS237" s="2"/>
      <c r="BT237" s="2"/>
      <c r="BU237" s="2"/>
      <c r="BV237" s="2"/>
      <c r="BW237" s="2"/>
      <c r="BX237" s="2"/>
      <c r="BY237" s="2"/>
      <c r="BZ237" s="2"/>
      <c r="CA237" s="2"/>
      <c r="CB237" s="2"/>
      <c r="CC237" s="2"/>
      <c r="CD237" s="2"/>
      <c r="CE237" s="2"/>
      <c r="CF237" s="2"/>
      <c r="CG237" s="2"/>
      <c r="CH237" s="2"/>
      <c r="CI237" s="2"/>
    </row>
    <row r="238" spans="1:87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2"/>
      <c r="BN238" s="2"/>
      <c r="BO238" s="2"/>
      <c r="BP238" s="2"/>
      <c r="BQ238" s="2"/>
      <c r="BR238" s="2"/>
      <c r="BS238" s="2"/>
      <c r="BT238" s="2"/>
      <c r="BU238" s="2"/>
      <c r="BV238" s="2"/>
      <c r="BW238" s="2"/>
      <c r="BX238" s="2"/>
      <c r="BY238" s="2"/>
      <c r="BZ238" s="2"/>
      <c r="CA238" s="2"/>
      <c r="CB238" s="2"/>
      <c r="CC238" s="2"/>
      <c r="CD238" s="2"/>
      <c r="CE238" s="2"/>
      <c r="CF238" s="2"/>
      <c r="CG238" s="2"/>
      <c r="CH238" s="2"/>
      <c r="CI238" s="2"/>
    </row>
    <row r="239" spans="1:87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2"/>
      <c r="BN239" s="2"/>
      <c r="BO239" s="2"/>
      <c r="BP239" s="2"/>
      <c r="BQ239" s="2"/>
      <c r="BR239" s="2"/>
      <c r="BS239" s="2"/>
      <c r="BT239" s="2"/>
      <c r="BU239" s="2"/>
      <c r="BV239" s="2"/>
      <c r="BW239" s="2"/>
      <c r="BX239" s="2"/>
      <c r="BY239" s="2"/>
      <c r="BZ239" s="2"/>
      <c r="CA239" s="2"/>
      <c r="CB239" s="2"/>
      <c r="CC239" s="2"/>
      <c r="CD239" s="2"/>
      <c r="CE239" s="2"/>
      <c r="CF239" s="2"/>
      <c r="CG239" s="2"/>
      <c r="CH239" s="2"/>
      <c r="CI239" s="2"/>
    </row>
    <row r="240" spans="1:87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  <c r="BJ240" s="2"/>
      <c r="BK240" s="2"/>
      <c r="BL240" s="2"/>
      <c r="BM240" s="2"/>
      <c r="BN240" s="2"/>
      <c r="BO240" s="2"/>
      <c r="BP240" s="2"/>
      <c r="BQ240" s="2"/>
      <c r="BR240" s="2"/>
      <c r="BS240" s="2"/>
      <c r="BT240" s="2"/>
      <c r="BU240" s="2"/>
      <c r="BV240" s="2"/>
      <c r="BW240" s="2"/>
      <c r="BX240" s="2"/>
      <c r="BY240" s="2"/>
      <c r="BZ240" s="2"/>
      <c r="CA240" s="2"/>
      <c r="CB240" s="2"/>
      <c r="CC240" s="2"/>
      <c r="CD240" s="2"/>
      <c r="CE240" s="2"/>
      <c r="CF240" s="2"/>
      <c r="CG240" s="2"/>
      <c r="CH240" s="2"/>
      <c r="CI240" s="2"/>
    </row>
    <row r="241" spans="1:87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  <c r="BJ241" s="2"/>
      <c r="BK241" s="2"/>
      <c r="BL241" s="2"/>
      <c r="BM241" s="2"/>
      <c r="BN241" s="2"/>
      <c r="BO241" s="2"/>
      <c r="BP241" s="2"/>
      <c r="BQ241" s="2"/>
      <c r="BR241" s="2"/>
      <c r="BS241" s="2"/>
      <c r="BT241" s="2"/>
      <c r="BU241" s="2"/>
      <c r="BV241" s="2"/>
      <c r="BW241" s="2"/>
      <c r="BX241" s="2"/>
      <c r="BY241" s="2"/>
      <c r="BZ241" s="2"/>
      <c r="CA241" s="2"/>
      <c r="CB241" s="2"/>
      <c r="CC241" s="2"/>
      <c r="CD241" s="2"/>
      <c r="CE241" s="2"/>
      <c r="CF241" s="2"/>
      <c r="CG241" s="2"/>
      <c r="CH241" s="2"/>
      <c r="CI241" s="2"/>
    </row>
    <row r="242" spans="1:87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  <c r="BJ242" s="2"/>
      <c r="BK242" s="2"/>
      <c r="BL242" s="2"/>
      <c r="BM242" s="2"/>
      <c r="BN242" s="2"/>
      <c r="BO242" s="2"/>
      <c r="BP242" s="2"/>
      <c r="BQ242" s="2"/>
      <c r="BR242" s="2"/>
      <c r="BS242" s="2"/>
      <c r="BT242" s="2"/>
      <c r="BU242" s="2"/>
      <c r="BV242" s="2"/>
      <c r="BW242" s="2"/>
      <c r="BX242" s="2"/>
      <c r="BY242" s="2"/>
      <c r="BZ242" s="2"/>
      <c r="CA242" s="2"/>
      <c r="CB242" s="2"/>
      <c r="CC242" s="2"/>
      <c r="CD242" s="2"/>
      <c r="CE242" s="2"/>
      <c r="CF242" s="2"/>
      <c r="CG242" s="2"/>
      <c r="CH242" s="2"/>
      <c r="CI242" s="2"/>
    </row>
    <row r="243" spans="1:87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  <c r="BJ243" s="2"/>
      <c r="BK243" s="2"/>
      <c r="BL243" s="2"/>
      <c r="BM243" s="2"/>
      <c r="BN243" s="2"/>
      <c r="BO243" s="2"/>
      <c r="BP243" s="2"/>
      <c r="BQ243" s="2"/>
      <c r="BR243" s="2"/>
      <c r="BS243" s="2"/>
      <c r="BT243" s="2"/>
      <c r="BU243" s="2"/>
      <c r="BV243" s="2"/>
      <c r="BW243" s="2"/>
      <c r="BX243" s="2"/>
      <c r="BY243" s="2"/>
      <c r="BZ243" s="2"/>
      <c r="CA243" s="2"/>
      <c r="CB243" s="2"/>
      <c r="CC243" s="2"/>
      <c r="CD243" s="2"/>
      <c r="CE243" s="2"/>
      <c r="CF243" s="2"/>
      <c r="CG243" s="2"/>
      <c r="CH243" s="2"/>
      <c r="CI243" s="2"/>
    </row>
    <row r="244" spans="1:87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  <c r="BJ244" s="2"/>
      <c r="BK244" s="2"/>
      <c r="BL244" s="2"/>
      <c r="BM244" s="2"/>
      <c r="BN244" s="2"/>
      <c r="BO244" s="2"/>
      <c r="BP244" s="2"/>
      <c r="BQ244" s="2"/>
      <c r="BR244" s="2"/>
      <c r="BS244" s="2"/>
      <c r="BT244" s="2"/>
      <c r="BU244" s="2"/>
      <c r="BV244" s="2"/>
      <c r="BW244" s="2"/>
      <c r="BX244" s="2"/>
      <c r="BY244" s="2"/>
      <c r="BZ244" s="2"/>
      <c r="CA244" s="2"/>
      <c r="CB244" s="2"/>
      <c r="CC244" s="2"/>
      <c r="CD244" s="2"/>
      <c r="CE244" s="2"/>
      <c r="CF244" s="2"/>
      <c r="CG244" s="2"/>
      <c r="CH244" s="2"/>
      <c r="CI244" s="2"/>
    </row>
    <row r="245" spans="1:87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  <c r="BJ245" s="2"/>
      <c r="BK245" s="2"/>
      <c r="BL245" s="2"/>
      <c r="BM245" s="2"/>
      <c r="BN245" s="2"/>
      <c r="BO245" s="2"/>
      <c r="BP245" s="2"/>
      <c r="BQ245" s="2"/>
      <c r="BR245" s="2"/>
      <c r="BS245" s="2"/>
      <c r="BT245" s="2"/>
      <c r="BU245" s="2"/>
      <c r="BV245" s="2"/>
      <c r="BW245" s="2"/>
      <c r="BX245" s="2"/>
      <c r="BY245" s="2"/>
      <c r="BZ245" s="2"/>
      <c r="CA245" s="2"/>
      <c r="CB245" s="2"/>
      <c r="CC245" s="2"/>
      <c r="CD245" s="2"/>
      <c r="CE245" s="2"/>
      <c r="CF245" s="2"/>
      <c r="CG245" s="2"/>
      <c r="CH245" s="2"/>
      <c r="CI245" s="2"/>
    </row>
    <row r="246" spans="1:87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  <c r="BJ246" s="2"/>
      <c r="BK246" s="2"/>
      <c r="BL246" s="2"/>
      <c r="BM246" s="2"/>
      <c r="BN246" s="2"/>
      <c r="BO246" s="2"/>
      <c r="BP246" s="2"/>
      <c r="BQ246" s="2"/>
      <c r="BR246" s="2"/>
      <c r="BS246" s="2"/>
      <c r="BT246" s="2"/>
      <c r="BU246" s="2"/>
      <c r="BV246" s="2"/>
      <c r="BW246" s="2"/>
      <c r="BX246" s="2"/>
      <c r="BY246" s="2"/>
      <c r="BZ246" s="2"/>
      <c r="CA246" s="2"/>
      <c r="CB246" s="2"/>
      <c r="CC246" s="2"/>
      <c r="CD246" s="2"/>
      <c r="CE246" s="2"/>
      <c r="CF246" s="2"/>
      <c r="CG246" s="2"/>
      <c r="CH246" s="2"/>
      <c r="CI246" s="2"/>
    </row>
    <row r="247" spans="1:87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  <c r="BJ247" s="2"/>
      <c r="BK247" s="2"/>
      <c r="BL247" s="2"/>
      <c r="BM247" s="2"/>
      <c r="BN247" s="2"/>
      <c r="BO247" s="2"/>
      <c r="BP247" s="2"/>
      <c r="BQ247" s="2"/>
      <c r="BR247" s="2"/>
      <c r="BS247" s="2"/>
      <c r="BT247" s="2"/>
      <c r="BU247" s="2"/>
      <c r="BV247" s="2"/>
      <c r="BW247" s="2"/>
      <c r="BX247" s="2"/>
      <c r="BY247" s="2"/>
      <c r="BZ247" s="2"/>
      <c r="CA247" s="2"/>
      <c r="CB247" s="2"/>
      <c r="CC247" s="2"/>
      <c r="CD247" s="2"/>
      <c r="CE247" s="2"/>
      <c r="CF247" s="2"/>
      <c r="CG247" s="2"/>
      <c r="CH247" s="2"/>
      <c r="CI247" s="2"/>
    </row>
    <row r="248" spans="1:87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"/>
      <c r="BP248" s="2"/>
      <c r="BQ248" s="2"/>
      <c r="BR248" s="2"/>
      <c r="BS248" s="2"/>
      <c r="BT248" s="2"/>
      <c r="BU248" s="2"/>
      <c r="BV248" s="2"/>
      <c r="BW248" s="2"/>
      <c r="BX248" s="2"/>
      <c r="BY248" s="2"/>
      <c r="BZ248" s="2"/>
      <c r="CA248" s="2"/>
      <c r="CB248" s="2"/>
      <c r="CC248" s="2"/>
      <c r="CD248" s="2"/>
      <c r="CE248" s="2"/>
      <c r="CF248" s="2"/>
      <c r="CG248" s="2"/>
      <c r="CH248" s="2"/>
      <c r="CI248" s="2"/>
    </row>
    <row r="249" spans="1:87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  <c r="BJ249" s="2"/>
      <c r="BK249" s="2"/>
      <c r="BL249" s="2"/>
      <c r="BM249" s="2"/>
      <c r="BN249" s="2"/>
      <c r="BO249" s="2"/>
      <c r="BP249" s="2"/>
      <c r="BQ249" s="2"/>
      <c r="BR249" s="2"/>
      <c r="BS249" s="2"/>
      <c r="BT249" s="2"/>
      <c r="BU249" s="2"/>
      <c r="BV249" s="2"/>
      <c r="BW249" s="2"/>
      <c r="BX249" s="2"/>
      <c r="BY249" s="2"/>
      <c r="BZ249" s="2"/>
      <c r="CA249" s="2"/>
      <c r="CB249" s="2"/>
      <c r="CC249" s="2"/>
      <c r="CD249" s="2"/>
      <c r="CE249" s="2"/>
      <c r="CF249" s="2"/>
      <c r="CG249" s="2"/>
      <c r="CH249" s="2"/>
      <c r="CI249" s="2"/>
    </row>
    <row r="250" spans="1:87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  <c r="BJ250" s="2"/>
      <c r="BK250" s="2"/>
      <c r="BL250" s="2"/>
      <c r="BM250" s="2"/>
      <c r="BN250" s="2"/>
      <c r="BO250" s="2"/>
      <c r="BP250" s="2"/>
      <c r="BQ250" s="2"/>
      <c r="BR250" s="2"/>
      <c r="BS250" s="2"/>
      <c r="BT250" s="2"/>
      <c r="BU250" s="2"/>
      <c r="BV250" s="2"/>
      <c r="BW250" s="2"/>
      <c r="BX250" s="2"/>
      <c r="BY250" s="2"/>
      <c r="BZ250" s="2"/>
      <c r="CA250" s="2"/>
      <c r="CB250" s="2"/>
      <c r="CC250" s="2"/>
      <c r="CD250" s="2"/>
      <c r="CE250" s="2"/>
      <c r="CF250" s="2"/>
      <c r="CG250" s="2"/>
      <c r="CH250" s="2"/>
      <c r="CI250" s="2"/>
    </row>
    <row r="251" spans="1:87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  <c r="BJ251" s="2"/>
      <c r="BK251" s="2"/>
      <c r="BL251" s="2"/>
      <c r="BM251" s="2"/>
      <c r="BN251" s="2"/>
      <c r="BO251" s="2"/>
      <c r="BP251" s="2"/>
      <c r="BQ251" s="2"/>
      <c r="BR251" s="2"/>
      <c r="BS251" s="2"/>
      <c r="BT251" s="2"/>
      <c r="BU251" s="2"/>
      <c r="BV251" s="2"/>
      <c r="BW251" s="2"/>
      <c r="BX251" s="2"/>
      <c r="BY251" s="2"/>
      <c r="BZ251" s="2"/>
      <c r="CA251" s="2"/>
      <c r="CB251" s="2"/>
      <c r="CC251" s="2"/>
      <c r="CD251" s="2"/>
      <c r="CE251" s="2"/>
      <c r="CF251" s="2"/>
      <c r="CG251" s="2"/>
      <c r="CH251" s="2"/>
      <c r="CI251" s="2"/>
    </row>
    <row r="252" spans="1:87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"/>
      <c r="BP252" s="2"/>
      <c r="BQ252" s="2"/>
      <c r="BR252" s="2"/>
      <c r="BS252" s="2"/>
      <c r="BT252" s="2"/>
      <c r="BU252" s="2"/>
      <c r="BV252" s="2"/>
      <c r="BW252" s="2"/>
      <c r="BX252" s="2"/>
      <c r="BY252" s="2"/>
      <c r="BZ252" s="2"/>
      <c r="CA252" s="2"/>
      <c r="CB252" s="2"/>
      <c r="CC252" s="2"/>
      <c r="CD252" s="2"/>
      <c r="CE252" s="2"/>
      <c r="CF252" s="2"/>
      <c r="CG252" s="2"/>
      <c r="CH252" s="2"/>
      <c r="CI252" s="2"/>
    </row>
  </sheetData>
  <phoneticPr fontId="0" type="noConversion"/>
  <hyperlinks>
    <hyperlink ref="E29" r:id="rId1"/>
    <hyperlink ref="E34" r:id="rId2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73"/>
  <sheetViews>
    <sheetView tabSelected="1" workbookViewId="0">
      <pane ySplit="14436" topLeftCell="A40"/>
      <selection activeCell="I17" sqref="I17:I18"/>
      <selection pane="bottomLeft" activeCell="A29" sqref="A29"/>
    </sheetView>
  </sheetViews>
  <sheetFormatPr defaultRowHeight="13.2" x14ac:dyDescent="0.25"/>
  <cols>
    <col min="1" max="1" width="9" customWidth="1"/>
    <col min="2" max="2" width="10.109375" customWidth="1"/>
    <col min="3" max="3" width="31.109375" customWidth="1"/>
    <col min="4" max="4" width="9.88671875" bestFit="1" customWidth="1"/>
    <col min="5" max="5" width="4.6640625" style="9" customWidth="1"/>
    <col min="6" max="6" width="4.109375" customWidth="1"/>
    <col min="7" max="7" width="14.88671875" bestFit="1" customWidth="1"/>
    <col min="8" max="8" width="8.44140625" bestFit="1" customWidth="1"/>
    <col min="9" max="9" width="9.44140625" bestFit="1" customWidth="1"/>
    <col min="10" max="10" width="4.6640625" customWidth="1"/>
    <col min="11" max="11" width="31.5546875" bestFit="1" customWidth="1"/>
    <col min="12" max="12" width="9.88671875" bestFit="1" customWidth="1"/>
    <col min="13" max="13" width="8.109375" customWidth="1"/>
    <col min="14" max="14" width="9.33203125" customWidth="1"/>
    <col min="16" max="17" width="10.5546875" bestFit="1" customWidth="1"/>
    <col min="18" max="32" width="9.44140625" bestFit="1" customWidth="1"/>
  </cols>
  <sheetData>
    <row r="1" spans="1:32" s="9" customFormat="1" ht="13.8" thickBot="1" x14ac:dyDescent="0.3">
      <c r="H1" s="106"/>
    </row>
    <row r="2" spans="1:32" ht="21" customHeight="1" x14ac:dyDescent="0.25">
      <c r="A2" s="23"/>
      <c r="B2" s="24"/>
      <c r="C2" s="107" t="s">
        <v>82</v>
      </c>
      <c r="D2" s="108" t="s">
        <v>5</v>
      </c>
      <c r="E2" s="24"/>
      <c r="F2" s="24"/>
      <c r="G2" s="24"/>
      <c r="H2" s="24"/>
      <c r="I2" s="24"/>
      <c r="J2" s="24"/>
      <c r="K2" s="107" t="s">
        <v>83</v>
      </c>
      <c r="L2" s="108"/>
      <c r="M2" s="35"/>
      <c r="N2" s="9"/>
      <c r="O2" s="9"/>
      <c r="P2" s="9"/>
      <c r="Q2" s="2"/>
      <c r="R2" s="2"/>
    </row>
    <row r="3" spans="1:32" x14ac:dyDescent="0.25">
      <c r="A3" s="25"/>
      <c r="B3" s="26"/>
      <c r="C3" s="136" t="s">
        <v>47</v>
      </c>
      <c r="D3" s="137"/>
      <c r="E3" s="31"/>
      <c r="F3" s="31"/>
      <c r="G3" s="26"/>
      <c r="H3" s="26"/>
      <c r="I3" s="26"/>
      <c r="J3" s="26"/>
      <c r="K3" s="136" t="s">
        <v>47</v>
      </c>
      <c r="L3" s="137"/>
      <c r="M3" s="36"/>
      <c r="N3" s="9"/>
      <c r="O3" s="9"/>
      <c r="P3" s="9"/>
      <c r="Q3" s="2"/>
      <c r="R3" s="2"/>
    </row>
    <row r="4" spans="1:32" x14ac:dyDescent="0.25">
      <c r="A4" s="27"/>
      <c r="B4" s="28"/>
      <c r="C4" s="100"/>
      <c r="D4" s="101"/>
      <c r="E4" s="28"/>
      <c r="F4" s="28"/>
      <c r="G4" s="26"/>
      <c r="H4" s="26"/>
      <c r="I4" s="26"/>
      <c r="J4" s="26"/>
      <c r="K4" s="100"/>
      <c r="L4" s="101"/>
      <c r="M4" s="36"/>
      <c r="N4" s="9"/>
      <c r="O4" s="9"/>
      <c r="P4" s="9"/>
      <c r="Q4" s="9"/>
      <c r="R4" s="9"/>
      <c r="S4" s="9"/>
      <c r="T4" s="9"/>
      <c r="U4" s="9"/>
      <c r="V4" s="9"/>
      <c r="W4" s="9"/>
      <c r="X4" s="9"/>
    </row>
    <row r="5" spans="1:32" x14ac:dyDescent="0.25">
      <c r="A5" s="27"/>
      <c r="B5" s="28"/>
      <c r="C5" s="91" t="s">
        <v>1</v>
      </c>
      <c r="D5" s="92"/>
      <c r="E5" s="28"/>
      <c r="F5" s="28"/>
      <c r="G5" s="26"/>
      <c r="H5" s="26"/>
      <c r="I5" s="26"/>
      <c r="J5" s="26"/>
      <c r="K5" s="91" t="s">
        <v>1</v>
      </c>
      <c r="L5" s="92"/>
      <c r="M5" s="36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AC5" t="s">
        <v>67</v>
      </c>
      <c r="AD5" t="s">
        <v>67</v>
      </c>
      <c r="AE5" t="s">
        <v>67</v>
      </c>
      <c r="AF5" t="s">
        <v>67</v>
      </c>
    </row>
    <row r="6" spans="1:32" x14ac:dyDescent="0.25">
      <c r="A6" s="29"/>
      <c r="B6" s="28"/>
      <c r="C6" s="12" t="s">
        <v>34</v>
      </c>
      <c r="D6" s="13">
        <v>1</v>
      </c>
      <c r="E6" s="28"/>
      <c r="F6" s="28"/>
      <c r="G6" s="32"/>
      <c r="H6" s="26"/>
      <c r="I6" s="26"/>
      <c r="J6" s="26"/>
      <c r="K6" s="12" t="s">
        <v>34</v>
      </c>
      <c r="L6" s="13">
        <v>1</v>
      </c>
      <c r="M6" s="36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AC6" t="s">
        <v>67</v>
      </c>
      <c r="AD6" t="s">
        <v>67</v>
      </c>
      <c r="AE6" t="s">
        <v>67</v>
      </c>
      <c r="AF6" t="s">
        <v>67</v>
      </c>
    </row>
    <row r="7" spans="1:32" x14ac:dyDescent="0.25">
      <c r="A7" s="29"/>
      <c r="B7" s="28"/>
      <c r="C7" s="12" t="s">
        <v>35</v>
      </c>
      <c r="D7" s="13">
        <v>0.5</v>
      </c>
      <c r="E7" s="28"/>
      <c r="F7" s="28"/>
      <c r="G7" s="32"/>
      <c r="H7" s="26"/>
      <c r="I7" s="26"/>
      <c r="J7" s="26"/>
      <c r="K7" s="12" t="s">
        <v>35</v>
      </c>
      <c r="L7" s="13">
        <v>0.3</v>
      </c>
      <c r="M7" s="36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AA7" t="s">
        <v>67</v>
      </c>
      <c r="AB7" t="s">
        <v>67</v>
      </c>
      <c r="AC7" t="s">
        <v>67</v>
      </c>
      <c r="AD7" t="s">
        <v>67</v>
      </c>
      <c r="AE7" t="s">
        <v>67</v>
      </c>
      <c r="AF7" t="s">
        <v>67</v>
      </c>
    </row>
    <row r="8" spans="1:32" x14ac:dyDescent="0.25">
      <c r="A8" s="29"/>
      <c r="B8" s="28"/>
      <c r="C8" s="12" t="s">
        <v>36</v>
      </c>
      <c r="D8" s="13">
        <v>0.5</v>
      </c>
      <c r="E8" s="28"/>
      <c r="F8" s="28"/>
      <c r="G8" s="32"/>
      <c r="H8" s="26"/>
      <c r="I8" s="26"/>
      <c r="J8" s="26"/>
      <c r="K8" s="12" t="s">
        <v>36</v>
      </c>
      <c r="L8" s="13">
        <v>0.3</v>
      </c>
      <c r="M8" s="36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AA8" t="s">
        <v>67</v>
      </c>
      <c r="AB8" t="s">
        <v>67</v>
      </c>
      <c r="AC8" t="s">
        <v>67</v>
      </c>
      <c r="AD8" t="s">
        <v>67</v>
      </c>
      <c r="AE8" t="s">
        <v>67</v>
      </c>
      <c r="AF8" t="s">
        <v>67</v>
      </c>
    </row>
    <row r="9" spans="1:32" x14ac:dyDescent="0.25">
      <c r="A9" s="29"/>
      <c r="B9" s="28"/>
      <c r="C9" s="14" t="s">
        <v>37</v>
      </c>
      <c r="D9" s="13">
        <v>0.15</v>
      </c>
      <c r="E9" s="28"/>
      <c r="F9" s="28"/>
      <c r="G9" s="26"/>
      <c r="H9" s="138"/>
      <c r="I9" s="139"/>
      <c r="J9" s="26"/>
      <c r="K9" s="14" t="s">
        <v>37</v>
      </c>
      <c r="L9" s="13">
        <v>0.15</v>
      </c>
      <c r="M9" s="36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AA9" t="s">
        <v>67</v>
      </c>
      <c r="AB9" t="s">
        <v>67</v>
      </c>
      <c r="AC9" t="s">
        <v>67</v>
      </c>
      <c r="AD9" t="s">
        <v>67</v>
      </c>
      <c r="AE9" t="s">
        <v>67</v>
      </c>
      <c r="AF9" t="s">
        <v>67</v>
      </c>
    </row>
    <row r="10" spans="1:32" ht="14.25" customHeight="1" x14ac:dyDescent="0.25">
      <c r="A10" s="29"/>
      <c r="B10" s="28"/>
      <c r="C10" s="14" t="s">
        <v>38</v>
      </c>
      <c r="D10" s="13">
        <v>0</v>
      </c>
      <c r="E10" s="28"/>
      <c r="F10" s="33"/>
      <c r="G10" s="74" t="s">
        <v>80</v>
      </c>
      <c r="H10" s="138"/>
      <c r="I10" s="139"/>
      <c r="J10" s="26"/>
      <c r="K10" s="14" t="s">
        <v>38</v>
      </c>
      <c r="L10" s="13">
        <v>1</v>
      </c>
      <c r="M10" s="36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AA10" t="s">
        <v>67</v>
      </c>
      <c r="AB10" t="s">
        <v>67</v>
      </c>
      <c r="AC10" t="s">
        <v>67</v>
      </c>
      <c r="AD10" t="s">
        <v>67</v>
      </c>
      <c r="AE10" t="s">
        <v>67</v>
      </c>
      <c r="AF10" t="s">
        <v>67</v>
      </c>
    </row>
    <row r="11" spans="1:32" ht="13.5" customHeight="1" x14ac:dyDescent="0.25">
      <c r="A11" s="134" t="s">
        <v>48</v>
      </c>
      <c r="B11" s="135"/>
      <c r="C11" s="14"/>
      <c r="D11" s="78"/>
      <c r="E11" s="28"/>
      <c r="F11" s="33"/>
      <c r="G11" s="33"/>
      <c r="H11" s="33"/>
      <c r="I11" s="26"/>
      <c r="J11" s="26"/>
      <c r="K11" s="14"/>
      <c r="L11" s="78"/>
      <c r="M11" s="36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</row>
    <row r="12" spans="1:32" ht="12.75" customHeight="1" x14ac:dyDescent="0.25">
      <c r="A12" s="27"/>
      <c r="B12" s="28"/>
      <c r="C12" s="20" t="s">
        <v>89</v>
      </c>
      <c r="D12" s="112">
        <v>0.9</v>
      </c>
      <c r="E12" s="28"/>
      <c r="F12" s="33"/>
      <c r="G12" s="102" t="s">
        <v>3</v>
      </c>
      <c r="H12" s="54">
        <v>0.5</v>
      </c>
      <c r="I12" s="26"/>
      <c r="J12" s="26"/>
      <c r="K12" s="20" t="s">
        <v>89</v>
      </c>
      <c r="L12" s="112">
        <v>0.1</v>
      </c>
      <c r="M12" s="36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</row>
    <row r="13" spans="1:32" x14ac:dyDescent="0.25">
      <c r="A13" s="27"/>
      <c r="B13" s="28"/>
      <c r="C13" s="91" t="s">
        <v>39</v>
      </c>
      <c r="D13" s="93" t="s">
        <v>40</v>
      </c>
      <c r="E13" s="33"/>
      <c r="F13" s="33"/>
      <c r="G13" s="102" t="s">
        <v>81</v>
      </c>
      <c r="H13" s="54">
        <v>0.1</v>
      </c>
      <c r="I13" s="26"/>
      <c r="J13" s="26"/>
      <c r="K13" s="91" t="s">
        <v>39</v>
      </c>
      <c r="L13" s="93" t="s">
        <v>40</v>
      </c>
      <c r="M13" s="36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</row>
    <row r="14" spans="1:32" x14ac:dyDescent="0.25">
      <c r="A14" s="27"/>
      <c r="B14" s="28"/>
      <c r="C14" s="15" t="s">
        <v>41</v>
      </c>
      <c r="D14" s="16">
        <v>0</v>
      </c>
      <c r="E14" s="28"/>
      <c r="F14" s="28"/>
      <c r="G14" s="26"/>
      <c r="H14" s="26"/>
      <c r="I14" s="26"/>
      <c r="J14" s="26"/>
      <c r="K14" s="15" t="s">
        <v>41</v>
      </c>
      <c r="L14" s="16">
        <v>0</v>
      </c>
      <c r="M14" s="36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</row>
    <row r="15" spans="1:32" x14ac:dyDescent="0.25">
      <c r="A15" s="27"/>
      <c r="B15" s="28"/>
      <c r="C15" s="15" t="s">
        <v>42</v>
      </c>
      <c r="D15" s="17">
        <v>0</v>
      </c>
      <c r="E15" s="28"/>
      <c r="F15" s="28"/>
      <c r="G15" s="26"/>
      <c r="H15" s="26"/>
      <c r="I15" s="26"/>
      <c r="J15" s="26"/>
      <c r="K15" s="15" t="s">
        <v>42</v>
      </c>
      <c r="L15" s="17">
        <v>0</v>
      </c>
      <c r="M15" s="36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</row>
    <row r="16" spans="1:32" x14ac:dyDescent="0.25">
      <c r="A16" s="27"/>
      <c r="B16" s="28"/>
      <c r="C16" s="15" t="s">
        <v>43</v>
      </c>
      <c r="D16" s="17">
        <v>0</v>
      </c>
      <c r="E16" s="28"/>
      <c r="F16" s="28"/>
      <c r="G16" s="26"/>
      <c r="H16" s="26"/>
      <c r="I16" s="26"/>
      <c r="J16" s="26"/>
      <c r="K16" s="15" t="s">
        <v>43</v>
      </c>
      <c r="L16" s="17">
        <v>0</v>
      </c>
      <c r="M16" s="36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</row>
    <row r="17" spans="1:30" x14ac:dyDescent="0.25">
      <c r="A17" s="27"/>
      <c r="B17" s="28"/>
      <c r="C17" s="15" t="s">
        <v>44</v>
      </c>
      <c r="D17" s="17">
        <v>0</v>
      </c>
      <c r="E17" s="28"/>
      <c r="F17" s="28"/>
      <c r="G17" s="26"/>
      <c r="H17" s="26"/>
      <c r="I17" s="26"/>
      <c r="J17" s="26"/>
      <c r="K17" s="15" t="s">
        <v>44</v>
      </c>
      <c r="L17" s="17">
        <v>0</v>
      </c>
      <c r="M17" s="36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</row>
    <row r="18" spans="1:30" x14ac:dyDescent="0.25">
      <c r="A18" s="27"/>
      <c r="B18" s="28"/>
      <c r="C18" s="15" t="s">
        <v>45</v>
      </c>
      <c r="D18" s="17">
        <v>0</v>
      </c>
      <c r="E18" s="28"/>
      <c r="F18" s="28"/>
      <c r="G18" s="26"/>
      <c r="H18" s="26"/>
      <c r="I18" s="26"/>
      <c r="J18" s="26"/>
      <c r="K18" s="15" t="s">
        <v>45</v>
      </c>
      <c r="L18" s="17">
        <v>0</v>
      </c>
      <c r="M18" s="36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</row>
    <row r="19" spans="1:30" x14ac:dyDescent="0.25">
      <c r="A19" s="27"/>
      <c r="B19" s="60"/>
      <c r="C19" s="14" t="s">
        <v>46</v>
      </c>
      <c r="D19" s="67">
        <v>99</v>
      </c>
      <c r="E19" s="62"/>
      <c r="F19" s="63"/>
      <c r="G19" s="26"/>
      <c r="H19" s="26"/>
      <c r="I19" s="26"/>
      <c r="J19" s="64"/>
      <c r="K19" s="14" t="s">
        <v>46</v>
      </c>
      <c r="L19" s="67">
        <v>1</v>
      </c>
      <c r="M19" s="66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</row>
    <row r="20" spans="1:30" ht="12.75" customHeight="1" x14ac:dyDescent="0.25">
      <c r="A20" s="30"/>
      <c r="B20" s="61"/>
      <c r="C20" s="20" t="s">
        <v>68</v>
      </c>
      <c r="D20" s="20">
        <f>H20</f>
        <v>1</v>
      </c>
      <c r="E20" s="65"/>
      <c r="F20" s="20"/>
      <c r="G20" s="20" t="s">
        <v>68</v>
      </c>
      <c r="H20" s="73">
        <v>1</v>
      </c>
      <c r="I20" s="34"/>
      <c r="J20" s="61"/>
      <c r="K20" s="20" t="s">
        <v>68</v>
      </c>
      <c r="L20" s="20">
        <f>H20</f>
        <v>1</v>
      </c>
      <c r="M20" s="36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</row>
    <row r="21" spans="1:30" ht="38.25" customHeight="1" thickBot="1" x14ac:dyDescent="0.3">
      <c r="A21" s="2"/>
      <c r="B21" s="2"/>
      <c r="C21" s="96"/>
      <c r="D21" s="97"/>
      <c r="E21" s="8"/>
      <c r="F21" s="8"/>
      <c r="G21" s="8"/>
      <c r="H21" s="9"/>
      <c r="I21" s="9"/>
      <c r="J21" s="9"/>
      <c r="K21" s="96"/>
      <c r="L21" s="97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</row>
    <row r="22" spans="1:30" ht="21.75" customHeight="1" x14ac:dyDescent="0.25">
      <c r="A22" s="37"/>
      <c r="B22" s="38"/>
      <c r="C22" s="107" t="s">
        <v>82</v>
      </c>
      <c r="D22" s="99"/>
      <c r="E22" s="38"/>
      <c r="F22" s="38"/>
      <c r="G22" s="38"/>
      <c r="H22" s="38"/>
      <c r="I22" s="38"/>
      <c r="J22" s="38"/>
      <c r="K22" s="98" t="s">
        <v>83</v>
      </c>
      <c r="L22" s="99"/>
      <c r="M22" s="52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</row>
    <row r="23" spans="1:30" x14ac:dyDescent="0.25">
      <c r="A23" s="39"/>
      <c r="B23" s="40"/>
      <c r="C23" s="140" t="s">
        <v>2</v>
      </c>
      <c r="D23" s="141"/>
      <c r="E23" s="46"/>
      <c r="F23" s="46"/>
      <c r="G23" s="40"/>
      <c r="H23" s="40"/>
      <c r="I23" s="40"/>
      <c r="J23" s="40"/>
      <c r="K23" s="140" t="s">
        <v>2</v>
      </c>
      <c r="L23" s="141"/>
      <c r="M23" s="50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</row>
    <row r="24" spans="1:30" x14ac:dyDescent="0.25">
      <c r="A24" s="41"/>
      <c r="B24" s="42"/>
      <c r="C24" s="18" t="s">
        <v>51</v>
      </c>
      <c r="D24" s="94">
        <f>SQRT(D7)*D6</f>
        <v>0.70710678118654757</v>
      </c>
      <c r="E24" s="42"/>
      <c r="F24" s="42"/>
      <c r="G24" s="40"/>
      <c r="H24" s="40"/>
      <c r="I24" s="40"/>
      <c r="J24" s="40"/>
      <c r="K24" s="18" t="s">
        <v>51</v>
      </c>
      <c r="L24" s="94">
        <f>SQRT(L7)*L6</f>
        <v>0.54772255750516607</v>
      </c>
      <c r="M24" s="50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</row>
    <row r="25" spans="1:30" x14ac:dyDescent="0.25">
      <c r="A25" s="43"/>
      <c r="B25" s="42"/>
      <c r="C25" s="19" t="s">
        <v>52</v>
      </c>
      <c r="D25" s="95">
        <f>D24*D10</f>
        <v>0</v>
      </c>
      <c r="E25" s="42"/>
      <c r="F25" s="42"/>
      <c r="G25" s="47"/>
      <c r="H25" s="40"/>
      <c r="I25" s="40"/>
      <c r="J25" s="40"/>
      <c r="K25" s="19" t="s">
        <v>52</v>
      </c>
      <c r="L25" s="95">
        <f>L24*L10</f>
        <v>0.54772255750516607</v>
      </c>
      <c r="M25" s="50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</row>
    <row r="26" spans="1:30" ht="15" customHeight="1" x14ac:dyDescent="0.25">
      <c r="A26" s="43"/>
      <c r="B26" s="42"/>
      <c r="C26" s="18" t="s">
        <v>53</v>
      </c>
      <c r="D26" s="130">
        <v>0.58729825196269758</v>
      </c>
      <c r="E26" s="42"/>
      <c r="F26" s="42"/>
      <c r="G26" s="47"/>
      <c r="H26" s="40"/>
      <c r="I26" s="40"/>
      <c r="J26" s="40"/>
      <c r="K26" s="18" t="s">
        <v>53</v>
      </c>
      <c r="L26" s="94">
        <v>0.31770001962807326</v>
      </c>
      <c r="M26" s="50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t="s">
        <v>67</v>
      </c>
      <c r="Z26" t="s">
        <v>67</v>
      </c>
      <c r="AA26" t="s">
        <v>67</v>
      </c>
      <c r="AB26" t="s">
        <v>67</v>
      </c>
      <c r="AC26" t="s">
        <v>67</v>
      </c>
      <c r="AD26" t="s">
        <v>67</v>
      </c>
    </row>
    <row r="27" spans="1:30" x14ac:dyDescent="0.25">
      <c r="A27" s="43"/>
      <c r="B27" s="42"/>
      <c r="C27" s="20" t="s">
        <v>54</v>
      </c>
      <c r="D27" s="95">
        <v>0</v>
      </c>
      <c r="E27" s="42"/>
      <c r="F27" s="42"/>
      <c r="G27" s="47"/>
      <c r="H27" s="40"/>
      <c r="I27" s="40"/>
      <c r="J27" s="40"/>
      <c r="K27" s="20" t="s">
        <v>54</v>
      </c>
      <c r="L27" s="95">
        <v>0.31770001962807326</v>
      </c>
      <c r="M27" s="50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t="s">
        <v>67</v>
      </c>
      <c r="Z27" t="s">
        <v>67</v>
      </c>
      <c r="AA27" t="s">
        <v>67</v>
      </c>
      <c r="AB27" t="s">
        <v>67</v>
      </c>
      <c r="AC27" t="s">
        <v>67</v>
      </c>
      <c r="AD27" t="s">
        <v>67</v>
      </c>
    </row>
    <row r="28" spans="1:30" x14ac:dyDescent="0.25">
      <c r="A28" s="43"/>
      <c r="B28" s="42"/>
      <c r="C28" s="21" t="s">
        <v>0</v>
      </c>
      <c r="D28" s="76">
        <f>I36</f>
        <v>0.31770001962807309</v>
      </c>
      <c r="E28" s="42"/>
      <c r="F28" s="42"/>
      <c r="G28" s="40"/>
      <c r="H28" s="142"/>
      <c r="I28" s="143"/>
      <c r="J28" s="40"/>
      <c r="K28" s="21" t="s">
        <v>0</v>
      </c>
      <c r="L28" s="76">
        <f>I36</f>
        <v>0.31770001962807309</v>
      </c>
      <c r="M28" s="50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t="s">
        <v>67</v>
      </c>
      <c r="Z28" t="s">
        <v>67</v>
      </c>
      <c r="AA28" t="s">
        <v>67</v>
      </c>
      <c r="AB28" t="s">
        <v>67</v>
      </c>
      <c r="AC28" t="s">
        <v>67</v>
      </c>
      <c r="AD28" t="s">
        <v>67</v>
      </c>
    </row>
    <row r="29" spans="1:30" ht="14.25" customHeight="1" thickBot="1" x14ac:dyDescent="0.3">
      <c r="A29" s="43"/>
      <c r="B29" s="42"/>
      <c r="C29" s="70" t="s">
        <v>86</v>
      </c>
      <c r="D29" s="94">
        <v>0.97907092779675819</v>
      </c>
      <c r="E29" s="42"/>
      <c r="F29" s="48"/>
      <c r="G29" s="75" t="s">
        <v>50</v>
      </c>
      <c r="H29" s="104" t="s">
        <v>84</v>
      </c>
      <c r="I29" s="105" t="s">
        <v>85</v>
      </c>
      <c r="J29" s="40"/>
      <c r="K29" s="70" t="s">
        <v>86</v>
      </c>
      <c r="L29" s="94">
        <v>0.40150849058279647</v>
      </c>
      <c r="M29" s="50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t="s">
        <v>67</v>
      </c>
      <c r="Z29" t="s">
        <v>67</v>
      </c>
      <c r="AA29" t="s">
        <v>67</v>
      </c>
      <c r="AB29" t="s">
        <v>67</v>
      </c>
      <c r="AC29" t="s">
        <v>67</v>
      </c>
      <c r="AD29" t="s">
        <v>67</v>
      </c>
    </row>
    <row r="30" spans="1:30" ht="13.5" customHeight="1" x14ac:dyDescent="0.25">
      <c r="A30" s="132" t="s">
        <v>49</v>
      </c>
      <c r="B30" s="133"/>
      <c r="C30" s="69" t="s">
        <v>87</v>
      </c>
      <c r="D30" s="131">
        <v>0.97910333537898964</v>
      </c>
      <c r="E30" s="42"/>
      <c r="F30" s="48"/>
      <c r="G30" s="102" t="s">
        <v>84</v>
      </c>
      <c r="H30" s="126">
        <v>0.47932167067513159</v>
      </c>
      <c r="I30" s="127">
        <v>0.18658466617608205</v>
      </c>
      <c r="J30" s="40"/>
      <c r="K30" s="69" t="s">
        <v>88</v>
      </c>
      <c r="L30" s="131">
        <v>0.58003822423376561</v>
      </c>
      <c r="M30" s="50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</row>
    <row r="31" spans="1:30" ht="12.75" customHeight="1" x14ac:dyDescent="0.25">
      <c r="A31" s="41"/>
      <c r="B31" s="42"/>
      <c r="C31" s="68" t="s">
        <v>79</v>
      </c>
      <c r="D31" s="125">
        <f>I38</f>
        <v>0.58003822423376561</v>
      </c>
      <c r="E31" s="42"/>
      <c r="F31" s="48"/>
      <c r="G31" s="103" t="s">
        <v>85</v>
      </c>
      <c r="H31" s="128">
        <v>0.1865846661760821</v>
      </c>
      <c r="I31" s="129">
        <v>0.10093330247167809</v>
      </c>
      <c r="J31" s="40"/>
      <c r="K31" s="68" t="s">
        <v>56</v>
      </c>
      <c r="L31" s="125">
        <f>I38</f>
        <v>0.58003822423376561</v>
      </c>
      <c r="M31" s="50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</row>
    <row r="32" spans="1:30" x14ac:dyDescent="0.25">
      <c r="A32" s="41"/>
      <c r="B32" s="42"/>
      <c r="C32" s="91" t="s">
        <v>39</v>
      </c>
      <c r="D32" s="93" t="s">
        <v>55</v>
      </c>
      <c r="E32" s="48"/>
      <c r="F32" s="48"/>
      <c r="G32" s="49"/>
      <c r="H32" s="40"/>
      <c r="I32" s="40"/>
      <c r="J32" s="40"/>
      <c r="K32" s="91" t="s">
        <v>39</v>
      </c>
      <c r="L32" s="93" t="s">
        <v>55</v>
      </c>
      <c r="M32" s="50"/>
      <c r="N32" s="10"/>
      <c r="O32" s="9"/>
      <c r="P32" s="9"/>
      <c r="Q32" s="9"/>
      <c r="R32" s="9"/>
      <c r="S32" s="9"/>
      <c r="T32" s="9"/>
      <c r="U32" s="9"/>
      <c r="V32" s="9"/>
      <c r="W32" s="9"/>
      <c r="X32" s="9"/>
    </row>
    <row r="33" spans="1:24" x14ac:dyDescent="0.25">
      <c r="A33" s="41"/>
      <c r="B33" s="42"/>
      <c r="C33" s="15" t="s">
        <v>41</v>
      </c>
      <c r="D33" s="109" t="str">
        <f t="shared" ref="D33:D39" si="0">R33</f>
        <v>-</v>
      </c>
      <c r="E33" s="42"/>
      <c r="F33" s="42"/>
      <c r="G33" s="40"/>
      <c r="H33" s="40"/>
      <c r="I33" s="40"/>
      <c r="J33" s="40"/>
      <c r="K33" s="15" t="s">
        <v>41</v>
      </c>
      <c r="L33" s="109" t="str">
        <f t="shared" ref="L33:L39" si="1">S33</f>
        <v>-</v>
      </c>
      <c r="M33" s="50"/>
      <c r="N33" s="1"/>
      <c r="O33" s="2"/>
      <c r="P33" s="9"/>
      <c r="Q33" s="9"/>
      <c r="R33" s="9" t="s">
        <v>78</v>
      </c>
      <c r="S33" s="9" t="s">
        <v>78</v>
      </c>
      <c r="T33" s="9"/>
      <c r="U33" s="9"/>
      <c r="V33" s="9"/>
      <c r="W33" s="9"/>
      <c r="X33" s="9"/>
    </row>
    <row r="34" spans="1:24" x14ac:dyDescent="0.25">
      <c r="A34" s="41"/>
      <c r="B34" s="42"/>
      <c r="C34" s="71" t="s">
        <v>61</v>
      </c>
      <c r="D34" s="109" t="str">
        <f t="shared" si="0"/>
        <v>-</v>
      </c>
      <c r="E34" s="42"/>
      <c r="F34" s="42"/>
      <c r="G34" s="40"/>
      <c r="H34" s="40"/>
      <c r="I34" s="40"/>
      <c r="J34" s="40"/>
      <c r="K34" s="71" t="s">
        <v>61</v>
      </c>
      <c r="L34" s="109" t="str">
        <f t="shared" si="1"/>
        <v>-</v>
      </c>
      <c r="M34" s="50"/>
      <c r="N34" s="1"/>
      <c r="O34" s="2"/>
      <c r="P34" s="9"/>
      <c r="Q34" s="9"/>
      <c r="R34" s="9" t="s">
        <v>78</v>
      </c>
      <c r="S34" s="9" t="s">
        <v>78</v>
      </c>
      <c r="T34" s="9"/>
      <c r="U34" s="9"/>
      <c r="V34" s="9"/>
      <c r="W34" s="9"/>
      <c r="X34" s="9"/>
    </row>
    <row r="35" spans="1:24" x14ac:dyDescent="0.25">
      <c r="A35" s="41"/>
      <c r="B35" s="42"/>
      <c r="C35" s="15" t="s">
        <v>43</v>
      </c>
      <c r="D35" s="109" t="str">
        <f t="shared" si="0"/>
        <v>-</v>
      </c>
      <c r="E35" s="42"/>
      <c r="F35" s="42"/>
      <c r="G35" s="40"/>
      <c r="H35" s="40"/>
      <c r="I35" s="40"/>
      <c r="J35" s="40"/>
      <c r="K35" s="15" t="s">
        <v>43</v>
      </c>
      <c r="L35" s="109" t="str">
        <f t="shared" si="1"/>
        <v>-</v>
      </c>
      <c r="M35" s="50"/>
      <c r="N35" s="1"/>
      <c r="O35" s="2"/>
      <c r="P35" s="9"/>
      <c r="Q35" s="9"/>
      <c r="R35" s="9" t="s">
        <v>78</v>
      </c>
      <c r="S35" s="9" t="s">
        <v>78</v>
      </c>
      <c r="T35" s="9"/>
      <c r="U35" s="9"/>
      <c r="V35" s="9"/>
      <c r="W35" s="9"/>
      <c r="X35" s="9"/>
    </row>
    <row r="36" spans="1:24" x14ac:dyDescent="0.25">
      <c r="A36" s="41"/>
      <c r="B36" s="42"/>
      <c r="C36" s="15" t="s">
        <v>44</v>
      </c>
      <c r="D36" s="109" t="str">
        <f t="shared" si="0"/>
        <v>-</v>
      </c>
      <c r="E36" s="42"/>
      <c r="F36" s="42"/>
      <c r="G36" s="55" t="s">
        <v>0</v>
      </c>
      <c r="H36" s="56"/>
      <c r="I36" s="89">
        <v>0.31770001962807309</v>
      </c>
      <c r="J36" s="40"/>
      <c r="K36" s="15" t="s">
        <v>44</v>
      </c>
      <c r="L36" s="109" t="str">
        <f t="shared" si="1"/>
        <v>-</v>
      </c>
      <c r="M36" s="50"/>
      <c r="N36" s="1"/>
      <c r="O36" s="2"/>
      <c r="P36" s="9"/>
      <c r="Q36" s="9"/>
      <c r="R36" s="9" t="s">
        <v>78</v>
      </c>
      <c r="S36" s="9" t="s">
        <v>78</v>
      </c>
      <c r="T36" s="9"/>
      <c r="U36" s="9"/>
      <c r="V36" s="9"/>
      <c r="W36" s="9"/>
      <c r="X36" s="9"/>
    </row>
    <row r="37" spans="1:24" x14ac:dyDescent="0.25">
      <c r="A37" s="41"/>
      <c r="B37" s="42"/>
      <c r="C37" s="71" t="s">
        <v>60</v>
      </c>
      <c r="D37" s="109" t="str">
        <f t="shared" si="0"/>
        <v>-</v>
      </c>
      <c r="E37" s="42"/>
      <c r="F37" s="42"/>
      <c r="G37" s="57" t="s">
        <v>4</v>
      </c>
      <c r="H37" s="58"/>
      <c r="I37" s="90">
        <v>0.54772255750516607</v>
      </c>
      <c r="J37" s="40"/>
      <c r="K37" s="71" t="s">
        <v>60</v>
      </c>
      <c r="L37" s="109" t="str">
        <f t="shared" si="1"/>
        <v>-</v>
      </c>
      <c r="M37" s="50"/>
      <c r="N37" s="1"/>
      <c r="O37" s="2"/>
      <c r="P37" s="9"/>
      <c r="Q37" s="9"/>
      <c r="R37" s="9" t="s">
        <v>78</v>
      </c>
      <c r="S37" s="9" t="s">
        <v>78</v>
      </c>
      <c r="T37" s="9"/>
      <c r="U37" s="9"/>
      <c r="V37" s="9"/>
      <c r="W37" s="9"/>
      <c r="X37" s="9"/>
    </row>
    <row r="38" spans="1:24" x14ac:dyDescent="0.25">
      <c r="A38" s="41"/>
      <c r="B38" s="59"/>
      <c r="C38" s="71" t="s">
        <v>59</v>
      </c>
      <c r="D38" s="110">
        <f t="shared" si="0"/>
        <v>0.39331795694868921</v>
      </c>
      <c r="E38" s="59"/>
      <c r="F38" s="59"/>
      <c r="G38" s="57" t="s">
        <v>57</v>
      </c>
      <c r="H38" s="58"/>
      <c r="I38" s="113">
        <v>0.58003822423376561</v>
      </c>
      <c r="J38" s="40"/>
      <c r="K38" s="71" t="s">
        <v>59</v>
      </c>
      <c r="L38" s="109">
        <f t="shared" si="1"/>
        <v>0.10738204920196445</v>
      </c>
      <c r="M38" s="50"/>
      <c r="N38" s="1"/>
      <c r="O38" s="2"/>
      <c r="P38" s="9"/>
      <c r="Q38" s="9"/>
      <c r="R38" s="9">
        <v>0.39331795694868921</v>
      </c>
      <c r="S38" s="9">
        <v>0.10738204920196445</v>
      </c>
      <c r="T38" s="9"/>
      <c r="U38" s="9"/>
      <c r="V38" s="9"/>
      <c r="W38" s="9"/>
      <c r="X38" s="9"/>
    </row>
    <row r="39" spans="1:24" ht="13.8" thickBot="1" x14ac:dyDescent="0.3">
      <c r="A39" s="44"/>
      <c r="B39" s="45"/>
      <c r="C39" s="20" t="s">
        <v>58</v>
      </c>
      <c r="D39" s="110">
        <f t="shared" si="0"/>
        <v>0.14129002268577362</v>
      </c>
      <c r="E39" s="51"/>
      <c r="F39" s="51"/>
      <c r="G39" s="51"/>
      <c r="H39" s="51"/>
      <c r="I39" s="51"/>
      <c r="J39" s="72"/>
      <c r="K39" s="22" t="s">
        <v>58</v>
      </c>
      <c r="L39" s="111">
        <f t="shared" si="1"/>
        <v>0.73728406491971032</v>
      </c>
      <c r="M39" s="53"/>
      <c r="N39" s="2"/>
      <c r="O39" s="2"/>
      <c r="P39" s="9"/>
      <c r="Q39" s="9"/>
      <c r="R39" s="9">
        <v>0.14129002268577362</v>
      </c>
      <c r="S39" s="9">
        <v>0.73728406491971032</v>
      </c>
      <c r="T39" s="9"/>
      <c r="U39" s="9"/>
      <c r="V39" s="9"/>
      <c r="W39" s="9"/>
      <c r="X39" s="9"/>
    </row>
    <row r="40" spans="1:24" x14ac:dyDescent="0.25">
      <c r="A40" s="114"/>
      <c r="B40" s="8"/>
      <c r="C40" s="8"/>
      <c r="D40" s="9"/>
      <c r="F40" s="9"/>
      <c r="G40" s="9"/>
      <c r="H40" s="9"/>
      <c r="I40" s="9"/>
      <c r="J40" s="9"/>
      <c r="K40" s="9"/>
      <c r="L40" s="9"/>
      <c r="M40" s="9"/>
      <c r="N40" s="2"/>
      <c r="O40" s="2"/>
      <c r="P40" s="9"/>
      <c r="Q40" s="9"/>
      <c r="R40" s="9"/>
      <c r="S40" s="9"/>
      <c r="T40" s="9"/>
      <c r="U40" s="9"/>
      <c r="V40" s="9"/>
      <c r="W40" s="9"/>
      <c r="X40" s="9"/>
    </row>
    <row r="41" spans="1:24" x14ac:dyDescent="0.25">
      <c r="A41" s="117"/>
      <c r="B41" s="117"/>
      <c r="C41" s="117"/>
      <c r="D41" s="117"/>
      <c r="E41" s="117"/>
      <c r="F41" s="117"/>
      <c r="G41" s="117"/>
      <c r="H41" s="118"/>
      <c r="I41" s="118"/>
      <c r="J41" s="118"/>
      <c r="K41" s="118"/>
      <c r="L41" s="118"/>
      <c r="M41" s="119"/>
      <c r="N41" s="2"/>
      <c r="O41" s="2"/>
      <c r="P41" s="9"/>
      <c r="Q41" s="9"/>
      <c r="R41" s="9"/>
      <c r="S41" s="9"/>
      <c r="T41" s="9"/>
      <c r="U41" s="9"/>
      <c r="V41" s="9"/>
      <c r="W41" s="9"/>
      <c r="X41" s="9"/>
    </row>
    <row r="42" spans="1:24" x14ac:dyDescent="0.25">
      <c r="A42" s="115" t="s">
        <v>5</v>
      </c>
      <c r="B42" s="115" t="s">
        <v>5</v>
      </c>
      <c r="C42" s="115" t="s">
        <v>5</v>
      </c>
      <c r="D42" s="115" t="s">
        <v>5</v>
      </c>
      <c r="E42" s="115" t="s">
        <v>5</v>
      </c>
      <c r="F42" s="115"/>
      <c r="G42" s="115"/>
      <c r="H42" s="116"/>
      <c r="I42" s="116"/>
      <c r="J42" s="116"/>
      <c r="K42" s="116"/>
      <c r="L42" s="116"/>
      <c r="M42" s="120"/>
      <c r="N42" s="2"/>
      <c r="O42" s="2"/>
      <c r="P42" s="9"/>
      <c r="Q42" s="9"/>
      <c r="R42" s="9"/>
      <c r="S42" s="9"/>
      <c r="T42" s="9"/>
      <c r="U42" s="9"/>
      <c r="V42" s="9"/>
      <c r="W42" s="9"/>
      <c r="X42" s="9"/>
    </row>
    <row r="43" spans="1:24" x14ac:dyDescent="0.25">
      <c r="A43" s="116"/>
      <c r="B43" s="116"/>
      <c r="C43" s="116"/>
      <c r="D43" s="116"/>
      <c r="E43" s="116"/>
      <c r="F43" s="116"/>
      <c r="G43" s="115"/>
      <c r="H43" s="115"/>
      <c r="I43" s="115" t="s">
        <v>5</v>
      </c>
      <c r="J43" s="115" t="s">
        <v>5</v>
      </c>
      <c r="K43" s="115" t="s">
        <v>5</v>
      </c>
      <c r="L43" s="115" t="s">
        <v>5</v>
      </c>
      <c r="M43" s="121" t="s">
        <v>5</v>
      </c>
      <c r="N43" s="1"/>
      <c r="O43" s="2"/>
      <c r="P43" s="9"/>
      <c r="Q43" s="9"/>
      <c r="R43" s="9"/>
      <c r="S43" s="9"/>
      <c r="T43" s="9"/>
      <c r="U43" s="9"/>
      <c r="V43" s="9"/>
      <c r="W43" s="9"/>
      <c r="X43" s="9"/>
    </row>
    <row r="44" spans="1:24" x14ac:dyDescent="0.25">
      <c r="A44" s="123"/>
      <c r="B44" s="123"/>
      <c r="C44" s="123"/>
      <c r="D44" s="123"/>
      <c r="E44" s="123"/>
      <c r="F44" s="123"/>
      <c r="G44" s="122"/>
      <c r="H44" s="122"/>
      <c r="I44" s="122" t="s">
        <v>5</v>
      </c>
      <c r="J44" s="122" t="s">
        <v>5</v>
      </c>
      <c r="K44" s="122" t="s">
        <v>5</v>
      </c>
      <c r="L44" s="122" t="s">
        <v>5</v>
      </c>
      <c r="M44" s="124" t="s">
        <v>5</v>
      </c>
      <c r="N44" s="1"/>
      <c r="O44" s="2"/>
      <c r="P44" s="9"/>
      <c r="Q44" s="9"/>
      <c r="R44" s="9"/>
      <c r="S44" s="9"/>
      <c r="T44" s="9"/>
      <c r="U44" s="9"/>
      <c r="V44" s="9"/>
      <c r="W44" s="9"/>
      <c r="X44" s="9"/>
    </row>
    <row r="45" spans="1:24" x14ac:dyDescent="0.25">
      <c r="A45" s="1"/>
      <c r="B45" s="11"/>
      <c r="C45" s="5"/>
      <c r="D45" s="5"/>
      <c r="E45" s="8"/>
      <c r="F45" s="5"/>
      <c r="G45" s="11"/>
      <c r="H45" s="1"/>
      <c r="I45" s="1" t="s">
        <v>5</v>
      </c>
      <c r="J45" s="1" t="s">
        <v>5</v>
      </c>
      <c r="K45" s="1" t="s">
        <v>5</v>
      </c>
      <c r="L45" s="1" t="s">
        <v>5</v>
      </c>
      <c r="M45" s="1" t="s">
        <v>5</v>
      </c>
      <c r="N45" s="1"/>
      <c r="O45" s="2"/>
      <c r="P45" s="9"/>
      <c r="Q45" s="9"/>
      <c r="R45" s="9"/>
      <c r="S45" s="9"/>
      <c r="T45" s="9"/>
      <c r="U45" s="9"/>
      <c r="V45" s="9"/>
      <c r="W45" s="9"/>
      <c r="X45" s="9"/>
    </row>
    <row r="46" spans="1:24" x14ac:dyDescent="0.25">
      <c r="A46" s="1"/>
      <c r="B46" s="11"/>
      <c r="C46" s="5"/>
      <c r="D46" s="5"/>
      <c r="E46" s="8"/>
      <c r="F46" s="5"/>
      <c r="G46" s="11"/>
      <c r="H46" s="1"/>
      <c r="I46" s="1" t="s">
        <v>5</v>
      </c>
      <c r="J46" s="1" t="s">
        <v>5</v>
      </c>
      <c r="K46" s="1" t="s">
        <v>5</v>
      </c>
      <c r="L46" s="1" t="s">
        <v>5</v>
      </c>
      <c r="M46" s="1" t="s">
        <v>5</v>
      </c>
      <c r="N46" s="1"/>
      <c r="O46" s="2"/>
      <c r="P46" s="9"/>
      <c r="Q46" s="9"/>
      <c r="R46" s="9"/>
      <c r="S46" s="9"/>
      <c r="T46" s="9"/>
      <c r="U46" s="9"/>
      <c r="V46" s="9"/>
      <c r="W46" s="9"/>
      <c r="X46" s="9"/>
    </row>
    <row r="47" spans="1:24" x14ac:dyDescent="0.25">
      <c r="A47" s="1"/>
      <c r="B47" s="3"/>
      <c r="C47" s="5"/>
      <c r="D47" s="5"/>
      <c r="E47" s="8"/>
      <c r="F47" s="5"/>
      <c r="G47" s="3"/>
      <c r="H47" s="1"/>
      <c r="I47" s="1" t="s">
        <v>5</v>
      </c>
      <c r="J47" s="1" t="s">
        <v>5</v>
      </c>
      <c r="K47" s="1" t="s">
        <v>5</v>
      </c>
      <c r="L47" s="1" t="s">
        <v>5</v>
      </c>
      <c r="M47" s="4" t="s">
        <v>5</v>
      </c>
      <c r="N47" s="1"/>
      <c r="O47" s="2"/>
      <c r="P47" s="9"/>
      <c r="Q47" s="9"/>
      <c r="R47" s="9"/>
      <c r="S47" s="9"/>
      <c r="T47" s="9"/>
      <c r="U47" s="9"/>
      <c r="V47" s="9"/>
      <c r="W47" s="9"/>
      <c r="X47" s="9"/>
    </row>
    <row r="48" spans="1:24" x14ac:dyDescent="0.25">
      <c r="A48" s="1"/>
      <c r="B48" s="2"/>
      <c r="G48" s="2"/>
      <c r="H48" s="1"/>
      <c r="I48" s="1" t="s">
        <v>5</v>
      </c>
      <c r="J48" s="1" t="s">
        <v>5</v>
      </c>
      <c r="K48" s="1" t="s">
        <v>5</v>
      </c>
      <c r="L48" s="1" t="s">
        <v>5</v>
      </c>
      <c r="M48" s="1" t="s">
        <v>5</v>
      </c>
      <c r="N48" s="1"/>
      <c r="O48" s="2"/>
      <c r="P48" s="9"/>
      <c r="Q48" s="9"/>
      <c r="R48" s="9"/>
      <c r="S48" s="9"/>
      <c r="T48" s="9"/>
      <c r="U48" s="9"/>
      <c r="V48" s="9"/>
      <c r="W48" s="9"/>
      <c r="X48" s="9"/>
    </row>
    <row r="49" spans="1:24" x14ac:dyDescent="0.25">
      <c r="A49" s="2"/>
      <c r="H49" s="2"/>
      <c r="I49" s="2"/>
      <c r="J49" s="1"/>
      <c r="K49" s="1"/>
      <c r="L49" s="1"/>
      <c r="M49" s="1"/>
      <c r="N49" s="1"/>
      <c r="O49" s="2"/>
      <c r="P49" s="9"/>
      <c r="Q49" s="9"/>
      <c r="R49" s="9"/>
      <c r="S49" s="9"/>
      <c r="T49" s="9"/>
      <c r="U49" s="9"/>
      <c r="V49" s="9"/>
      <c r="W49" s="9"/>
      <c r="X49" s="9"/>
    </row>
    <row r="50" spans="1:24" x14ac:dyDescent="0.25">
      <c r="A50" s="2"/>
      <c r="H50" s="2"/>
      <c r="I50" s="2"/>
      <c r="J50" s="1"/>
      <c r="K50" s="1"/>
      <c r="L50" s="1"/>
      <c r="M50" s="1"/>
      <c r="N50" s="1"/>
      <c r="O50" s="2"/>
      <c r="P50" s="9"/>
      <c r="Q50" s="9"/>
      <c r="R50" s="9"/>
      <c r="S50" s="9"/>
      <c r="T50" s="9"/>
      <c r="U50" s="9"/>
      <c r="V50" s="9"/>
      <c r="W50" s="9"/>
      <c r="X50" s="9"/>
    </row>
    <row r="51" spans="1:24" x14ac:dyDescent="0.25">
      <c r="O51" s="2"/>
      <c r="P51" s="9"/>
      <c r="Q51" s="9"/>
      <c r="R51" s="9"/>
      <c r="S51" s="9"/>
      <c r="T51" s="9"/>
      <c r="U51" s="9"/>
      <c r="V51" s="9"/>
      <c r="W51" s="9"/>
      <c r="X51" s="9"/>
    </row>
    <row r="52" spans="1:24" x14ac:dyDescent="0.25">
      <c r="P52" s="9"/>
      <c r="Q52" s="9"/>
      <c r="R52" s="9"/>
      <c r="S52" s="9"/>
      <c r="T52" s="9"/>
      <c r="U52" s="9"/>
      <c r="V52" s="9"/>
      <c r="W52" s="9"/>
      <c r="X52" s="9"/>
    </row>
    <row r="53" spans="1:24" x14ac:dyDescent="0.25">
      <c r="I53" t="s">
        <v>64</v>
      </c>
      <c r="P53" s="9"/>
      <c r="Q53" s="9"/>
      <c r="R53" s="9"/>
      <c r="S53" s="9"/>
      <c r="T53" s="9"/>
      <c r="U53" s="9"/>
      <c r="V53" s="9"/>
      <c r="W53" s="9"/>
      <c r="X53" s="9"/>
    </row>
    <row r="54" spans="1:24" x14ac:dyDescent="0.25">
      <c r="P54" s="9"/>
      <c r="Q54" s="9"/>
      <c r="R54" s="9"/>
      <c r="S54" s="9"/>
      <c r="T54" s="9"/>
      <c r="U54" s="9"/>
      <c r="V54" s="9"/>
      <c r="W54" s="9"/>
      <c r="X54" s="9"/>
    </row>
    <row r="55" spans="1:24" x14ac:dyDescent="0.25">
      <c r="P55" s="9"/>
      <c r="Q55" s="9"/>
      <c r="R55" s="9"/>
      <c r="S55" s="9"/>
      <c r="T55" s="9"/>
      <c r="U55" s="9"/>
      <c r="V55" s="9"/>
      <c r="W55" s="9"/>
      <c r="X55" s="9"/>
    </row>
    <row r="56" spans="1:24" x14ac:dyDescent="0.25">
      <c r="P56" s="9"/>
      <c r="Q56" s="9"/>
      <c r="R56" s="9"/>
      <c r="S56" s="9"/>
      <c r="T56" s="9"/>
      <c r="U56" s="9"/>
      <c r="V56" s="9"/>
      <c r="W56" s="9"/>
      <c r="X56" s="9"/>
    </row>
    <row r="57" spans="1:24" x14ac:dyDescent="0.25">
      <c r="C57" t="s">
        <v>62</v>
      </c>
      <c r="P57" s="9"/>
      <c r="Q57" s="9"/>
      <c r="R57" s="9"/>
      <c r="S57" s="9"/>
      <c r="T57" s="9"/>
      <c r="U57" s="9"/>
      <c r="V57" s="9"/>
      <c r="W57" s="9"/>
      <c r="X57" s="9"/>
    </row>
    <row r="58" spans="1:24" x14ac:dyDescent="0.25">
      <c r="B58">
        <v>0.29999999999999993</v>
      </c>
      <c r="C58">
        <v>0.17146428199482244</v>
      </c>
      <c r="I58" t="s">
        <v>65</v>
      </c>
      <c r="J58" t="s">
        <v>65</v>
      </c>
      <c r="K58" t="s">
        <v>65</v>
      </c>
      <c r="L58" t="s">
        <v>65</v>
      </c>
      <c r="M58" t="s">
        <v>65</v>
      </c>
      <c r="N58" t="s">
        <v>65</v>
      </c>
      <c r="P58" s="9"/>
      <c r="Q58" s="9"/>
      <c r="R58" s="9"/>
      <c r="S58" s="9"/>
      <c r="T58" s="9"/>
      <c r="U58" s="9"/>
      <c r="V58" s="9"/>
      <c r="W58" s="9"/>
      <c r="X58" s="9"/>
    </row>
    <row r="59" spans="1:24" x14ac:dyDescent="0.25">
      <c r="B59">
        <v>0.70000000000000007</v>
      </c>
      <c r="C59">
        <v>0.19999999999999998</v>
      </c>
      <c r="I59" t="s">
        <v>65</v>
      </c>
      <c r="J59" t="s">
        <v>65</v>
      </c>
      <c r="K59" t="s">
        <v>65</v>
      </c>
      <c r="L59" t="s">
        <v>65</v>
      </c>
      <c r="M59" t="s">
        <v>65</v>
      </c>
      <c r="N59" t="s">
        <v>65</v>
      </c>
    </row>
    <row r="60" spans="1:24" x14ac:dyDescent="0.25">
      <c r="I60" t="s">
        <v>65</v>
      </c>
      <c r="J60" t="s">
        <v>65</v>
      </c>
      <c r="K60" t="s">
        <v>65</v>
      </c>
      <c r="L60" t="s">
        <v>65</v>
      </c>
      <c r="M60" t="s">
        <v>65</v>
      </c>
      <c r="N60" t="s">
        <v>65</v>
      </c>
    </row>
    <row r="61" spans="1:24" x14ac:dyDescent="0.25">
      <c r="I61" t="s">
        <v>65</v>
      </c>
      <c r="J61" t="s">
        <v>65</v>
      </c>
      <c r="K61" t="s">
        <v>65</v>
      </c>
      <c r="L61" t="s">
        <v>65</v>
      </c>
      <c r="M61" t="s">
        <v>65</v>
      </c>
      <c r="N61" t="s">
        <v>65</v>
      </c>
    </row>
    <row r="62" spans="1:24" x14ac:dyDescent="0.25">
      <c r="I62" t="s">
        <v>66</v>
      </c>
      <c r="J62" t="s">
        <v>65</v>
      </c>
      <c r="K62" t="s">
        <v>65</v>
      </c>
      <c r="L62" t="s">
        <v>65</v>
      </c>
      <c r="M62" t="s">
        <v>65</v>
      </c>
      <c r="N62" t="s">
        <v>65</v>
      </c>
    </row>
    <row r="63" spans="1:24" x14ac:dyDescent="0.25">
      <c r="I63" t="s">
        <v>65</v>
      </c>
      <c r="J63" t="s">
        <v>65</v>
      </c>
      <c r="K63" t="s">
        <v>65</v>
      </c>
      <c r="L63" t="s">
        <v>65</v>
      </c>
      <c r="M63" t="s">
        <v>65</v>
      </c>
      <c r="N63" t="s">
        <v>65</v>
      </c>
    </row>
    <row r="67" spans="2:14" x14ac:dyDescent="0.25">
      <c r="C67" t="s">
        <v>63</v>
      </c>
    </row>
    <row r="68" spans="2:14" x14ac:dyDescent="0.25">
      <c r="B68">
        <v>0.70000000000000007</v>
      </c>
      <c r="C68">
        <v>0.42853571800517753</v>
      </c>
      <c r="I68" t="s">
        <v>5</v>
      </c>
      <c r="J68" t="s">
        <v>5</v>
      </c>
      <c r="K68" t="s">
        <v>5</v>
      </c>
      <c r="L68" t="s">
        <v>5</v>
      </c>
      <c r="M68" t="s">
        <v>5</v>
      </c>
      <c r="N68" t="s">
        <v>5</v>
      </c>
    </row>
    <row r="69" spans="2:14" x14ac:dyDescent="0.25">
      <c r="B69">
        <v>0.57265494098948111</v>
      </c>
      <c r="C69">
        <v>0.8</v>
      </c>
      <c r="I69" t="s">
        <v>5</v>
      </c>
      <c r="J69" t="s">
        <v>5</v>
      </c>
      <c r="K69" t="s">
        <v>5</v>
      </c>
      <c r="L69" t="s">
        <v>5</v>
      </c>
      <c r="M69" t="s">
        <v>5</v>
      </c>
      <c r="N69" t="s">
        <v>5</v>
      </c>
    </row>
    <row r="70" spans="2:14" x14ac:dyDescent="0.25">
      <c r="I70" t="s">
        <v>5</v>
      </c>
      <c r="J70" t="s">
        <v>5</v>
      </c>
      <c r="K70" t="s">
        <v>5</v>
      </c>
      <c r="L70" t="s">
        <v>5</v>
      </c>
      <c r="M70" t="s">
        <v>5</v>
      </c>
      <c r="N70" t="s">
        <v>5</v>
      </c>
    </row>
    <row r="71" spans="2:14" x14ac:dyDescent="0.25">
      <c r="I71" t="s">
        <v>5</v>
      </c>
      <c r="J71" t="s">
        <v>5</v>
      </c>
      <c r="K71" t="s">
        <v>5</v>
      </c>
      <c r="L71" t="s">
        <v>5</v>
      </c>
      <c r="M71" t="s">
        <v>5</v>
      </c>
      <c r="N71" t="s">
        <v>5</v>
      </c>
    </row>
    <row r="72" spans="2:14" x14ac:dyDescent="0.25">
      <c r="I72" t="s">
        <v>5</v>
      </c>
      <c r="J72" t="s">
        <v>5</v>
      </c>
      <c r="K72" t="s">
        <v>5</v>
      </c>
      <c r="L72" t="s">
        <v>5</v>
      </c>
      <c r="M72" t="s">
        <v>5</v>
      </c>
      <c r="N72" t="s">
        <v>5</v>
      </c>
    </row>
    <row r="73" spans="2:14" x14ac:dyDescent="0.25">
      <c r="I73" t="s">
        <v>5</v>
      </c>
      <c r="J73" t="s">
        <v>5</v>
      </c>
      <c r="K73" t="s">
        <v>5</v>
      </c>
      <c r="L73" t="s">
        <v>5</v>
      </c>
      <c r="M73" t="s">
        <v>5</v>
      </c>
      <c r="N73" t="s">
        <v>5</v>
      </c>
    </row>
  </sheetData>
  <mergeCells count="9">
    <mergeCell ref="A30:B30"/>
    <mergeCell ref="A11:B11"/>
    <mergeCell ref="C3:D3"/>
    <mergeCell ref="K3:L3"/>
    <mergeCell ref="H9:I9"/>
    <mergeCell ref="C23:D23"/>
    <mergeCell ref="K23:L23"/>
    <mergeCell ref="H28:I28"/>
    <mergeCell ref="H10:I10"/>
  </mergeCells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Instructions</vt:lpstr>
      <vt:lpstr>2 trait GS selection index</vt:lpstr>
    </vt:vector>
  </TitlesOfParts>
  <Company>animal science UNE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jvanderwerf</dc:creator>
  <cp:lastModifiedBy>vanderwerf</cp:lastModifiedBy>
  <cp:lastPrinted>2013-09-23T04:56:26Z</cp:lastPrinted>
  <dcterms:created xsi:type="dcterms:W3CDTF">1999-08-04T13:10:37Z</dcterms:created>
  <dcterms:modified xsi:type="dcterms:W3CDTF">2015-05-15T19:44:05Z</dcterms:modified>
</cp:coreProperties>
</file>