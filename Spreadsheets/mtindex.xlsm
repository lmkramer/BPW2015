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52" yWindow="480" windowWidth="19560" windowHeight="10932" activeTab="4"/>
  </bookViews>
  <sheets>
    <sheet name="Instructions" sheetId="9" r:id="rId1"/>
    <sheet name="2Traits" sheetId="11" r:id="rId2"/>
    <sheet name="MilkandFeed" sheetId="4" r:id="rId3"/>
    <sheet name="MilkandFerility" sheetId="10" r:id="rId4"/>
    <sheet name="exampleSelection" sheetId="12" r:id="rId5"/>
  </sheets>
  <definedNames>
    <definedName name="nt" localSheetId="1">'2Traits'!$A$3</definedName>
    <definedName name="nt" localSheetId="4">exampleSelection!$A$3</definedName>
    <definedName name="nt" localSheetId="2">MilkandFeed!$A$3</definedName>
    <definedName name="nt" localSheetId="3">MilkandFerility!$A$3</definedName>
    <definedName name="nt">#REF!</definedName>
  </definedNames>
  <calcPr calcId="145621"/>
</workbook>
</file>

<file path=xl/calcChain.xml><?xml version="1.0" encoding="utf-8"?>
<calcChain xmlns="http://schemas.openxmlformats.org/spreadsheetml/2006/main">
  <c r="D6" i="12" l="1"/>
  <c r="E26" i="12"/>
  <c r="B26" i="12"/>
  <c r="E25" i="12"/>
  <c r="B25" i="12"/>
  <c r="A18" i="12"/>
  <c r="A19" i="12"/>
  <c r="A17" i="12"/>
  <c r="A16" i="12"/>
  <c r="B15" i="12"/>
  <c r="B16" i="12"/>
  <c r="B17" i="12"/>
  <c r="B18" i="12"/>
  <c r="B19" i="12"/>
  <c r="B20" i="12"/>
  <c r="A15" i="12"/>
  <c r="B14" i="12"/>
  <c r="A14" i="12"/>
  <c r="E13" i="12"/>
  <c r="F13" i="12"/>
  <c r="G13" i="12"/>
  <c r="H13" i="12"/>
  <c r="D13" i="12"/>
  <c r="C13" i="12"/>
  <c r="Z10" i="12"/>
  <c r="A7" i="12"/>
  <c r="I6" i="12"/>
  <c r="A6" i="12"/>
  <c r="L5" i="12"/>
  <c r="M5" i="12"/>
  <c r="N5" i="12"/>
  <c r="O5" i="12"/>
  <c r="P5" i="12"/>
  <c r="K5" i="12"/>
  <c r="I7" i="11"/>
  <c r="B27" i="11"/>
  <c r="E26" i="11"/>
  <c r="B26" i="11"/>
  <c r="E25" i="11"/>
  <c r="B25" i="11"/>
  <c r="B15" i="11"/>
  <c r="B16" i="11"/>
  <c r="B17" i="11"/>
  <c r="B18" i="11"/>
  <c r="B19" i="11"/>
  <c r="B20" i="11"/>
  <c r="A15" i="11"/>
  <c r="A16" i="11"/>
  <c r="A17" i="11"/>
  <c r="A18" i="11"/>
  <c r="A19" i="11"/>
  <c r="B14" i="11"/>
  <c r="A14" i="11"/>
  <c r="D13" i="11"/>
  <c r="E13" i="11"/>
  <c r="F13" i="11"/>
  <c r="G13" i="11"/>
  <c r="H13" i="11"/>
  <c r="C13" i="11"/>
  <c r="Z10" i="11"/>
  <c r="A7" i="11"/>
  <c r="J7" i="11"/>
  <c r="C26" i="11"/>
  <c r="A6" i="11"/>
  <c r="I6" i="11"/>
  <c r="J6" i="11"/>
  <c r="C25" i="11"/>
  <c r="L5" i="11"/>
  <c r="M5" i="11"/>
  <c r="N5" i="11"/>
  <c r="O5" i="11"/>
  <c r="P5" i="11"/>
  <c r="K5" i="11"/>
  <c r="E26" i="10"/>
  <c r="B26" i="10"/>
  <c r="E25" i="10"/>
  <c r="B25" i="10"/>
  <c r="A18" i="10"/>
  <c r="A19" i="10"/>
  <c r="A17" i="10"/>
  <c r="A16" i="10"/>
  <c r="B15" i="10"/>
  <c r="B16" i="10"/>
  <c r="B17" i="10"/>
  <c r="B18" i="10"/>
  <c r="B19" i="10"/>
  <c r="B20" i="10"/>
  <c r="A15" i="10"/>
  <c r="B14" i="10"/>
  <c r="A14" i="10"/>
  <c r="D13" i="10"/>
  <c r="E13" i="10"/>
  <c r="F13" i="10"/>
  <c r="G13" i="10"/>
  <c r="H13" i="10"/>
  <c r="C13" i="10"/>
  <c r="Z10" i="10"/>
  <c r="A7" i="10"/>
  <c r="E27" i="10"/>
  <c r="A6" i="10"/>
  <c r="I6" i="10"/>
  <c r="L5" i="10"/>
  <c r="M5" i="10"/>
  <c r="N5" i="10"/>
  <c r="O5" i="10"/>
  <c r="P5" i="10"/>
  <c r="K5" i="10"/>
  <c r="K5" i="4"/>
  <c r="L5" i="4"/>
  <c r="M5" i="4"/>
  <c r="N5" i="4"/>
  <c r="O5" i="4"/>
  <c r="P5" i="4"/>
  <c r="B14" i="4"/>
  <c r="B15" i="4"/>
  <c r="B16" i="4"/>
  <c r="B17" i="4"/>
  <c r="B18" i="4"/>
  <c r="B19" i="4"/>
  <c r="B20" i="4"/>
  <c r="A6" i="4"/>
  <c r="I6" i="4"/>
  <c r="J6" i="4"/>
  <c r="A7" i="4"/>
  <c r="A18" i="4"/>
  <c r="A19" i="4"/>
  <c r="C13" i="4"/>
  <c r="D13" i="4"/>
  <c r="E13" i="4"/>
  <c r="F13" i="4"/>
  <c r="G13" i="4"/>
  <c r="H13" i="4"/>
  <c r="E26" i="4"/>
  <c r="E25" i="4"/>
  <c r="B26" i="4"/>
  <c r="B25" i="4"/>
  <c r="A15" i="4"/>
  <c r="A16" i="4"/>
  <c r="A17" i="4"/>
  <c r="A14" i="4"/>
  <c r="Z10" i="4"/>
  <c r="A8" i="10"/>
  <c r="E28" i="10"/>
  <c r="C25" i="10"/>
  <c r="A25" i="11"/>
  <c r="A25" i="10"/>
  <c r="E27" i="11"/>
  <c r="A26" i="11"/>
  <c r="J6" i="12"/>
  <c r="A9" i="10"/>
  <c r="B28" i="10"/>
  <c r="C25" i="4"/>
  <c r="A27" i="10"/>
  <c r="J8" i="10"/>
  <c r="B27" i="4"/>
  <c r="I7" i="4"/>
  <c r="J7" i="4"/>
  <c r="C26" i="10"/>
  <c r="A8" i="11"/>
  <c r="A8" i="12"/>
  <c r="A25" i="12"/>
  <c r="B27" i="12"/>
  <c r="I8" i="10"/>
  <c r="I7" i="10"/>
  <c r="J7" i="10"/>
  <c r="C25" i="12"/>
  <c r="A8" i="4"/>
  <c r="E27" i="12"/>
  <c r="A25" i="4"/>
  <c r="J6" i="10"/>
  <c r="B27" i="10"/>
  <c r="A26" i="4"/>
  <c r="A26" i="12"/>
  <c r="C27" i="10"/>
  <c r="A26" i="10"/>
  <c r="E27" i="4"/>
  <c r="I7" i="12"/>
  <c r="J7" i="12"/>
  <c r="C26" i="12"/>
  <c r="C26" i="4"/>
  <c r="E28" i="12"/>
  <c r="B28" i="12"/>
  <c r="A9" i="12"/>
  <c r="C27" i="12"/>
  <c r="J8" i="12"/>
  <c r="I8" i="12"/>
  <c r="A27" i="12"/>
  <c r="E28" i="11"/>
  <c r="J8" i="11"/>
  <c r="C27" i="11"/>
  <c r="A9" i="11"/>
  <c r="I8" i="11"/>
  <c r="B28" i="11"/>
  <c r="A27" i="11"/>
  <c r="A9" i="4"/>
  <c r="E28" i="4"/>
  <c r="C27" i="4"/>
  <c r="A27" i="4"/>
  <c r="I8" i="4"/>
  <c r="B28" i="4"/>
  <c r="J8" i="4"/>
  <c r="B29" i="10"/>
  <c r="A10" i="10"/>
  <c r="I9" i="10"/>
  <c r="J9" i="10"/>
  <c r="A28" i="10"/>
  <c r="C28" i="10"/>
  <c r="E29" i="10"/>
  <c r="I10" i="10"/>
  <c r="J10" i="10"/>
  <c r="E30" i="10"/>
  <c r="A11" i="10"/>
  <c r="B30" i="10"/>
  <c r="A29" i="10"/>
  <c r="C29" i="10"/>
  <c r="I9" i="4"/>
  <c r="J9" i="4"/>
  <c r="E29" i="4"/>
  <c r="A28" i="4"/>
  <c r="B29" i="4"/>
  <c r="C28" i="4"/>
  <c r="A10" i="4"/>
  <c r="J9" i="11"/>
  <c r="I9" i="11"/>
  <c r="C28" i="11"/>
  <c r="A28" i="11"/>
  <c r="E29" i="11"/>
  <c r="B29" i="11"/>
  <c r="A10" i="11"/>
  <c r="C28" i="12"/>
  <c r="A10" i="12"/>
  <c r="J9" i="12"/>
  <c r="A28" i="12"/>
  <c r="I9" i="12"/>
  <c r="E29" i="12"/>
  <c r="B29" i="12"/>
  <c r="C30" i="10"/>
  <c r="A30" i="10"/>
  <c r="J11" i="10"/>
  <c r="I11" i="10"/>
  <c r="E30" i="12"/>
  <c r="I10" i="12"/>
  <c r="B30" i="12"/>
  <c r="C29" i="12"/>
  <c r="A11" i="12"/>
  <c r="A29" i="12"/>
  <c r="J10" i="12"/>
  <c r="E30" i="4"/>
  <c r="C29" i="4"/>
  <c r="J10" i="4"/>
  <c r="I10" i="4"/>
  <c r="A11" i="4"/>
  <c r="B30" i="4"/>
  <c r="A29" i="4"/>
  <c r="J10" i="11"/>
  <c r="C29" i="11"/>
  <c r="I10" i="11"/>
  <c r="A29" i="11"/>
  <c r="E30" i="11"/>
  <c r="A11" i="11"/>
  <c r="B30" i="11"/>
  <c r="C30" i="12"/>
  <c r="A30" i="12"/>
  <c r="J11" i="12"/>
  <c r="I11" i="12"/>
  <c r="C30" i="11"/>
  <c r="A30" i="11"/>
  <c r="I11" i="11"/>
  <c r="J11" i="11"/>
  <c r="J11" i="4"/>
  <c r="C30" i="4"/>
  <c r="I11" i="4"/>
  <c r="A30" i="4"/>
</calcChain>
</file>

<file path=xl/sharedStrings.xml><?xml version="1.0" encoding="utf-8"?>
<sst xmlns="http://schemas.openxmlformats.org/spreadsheetml/2006/main" count="884" uniqueCount="91">
  <si>
    <t>trait</t>
  </si>
  <si>
    <t>Correlation structure</t>
  </si>
  <si>
    <t>Stand. Dev</t>
  </si>
  <si>
    <t>Name</t>
  </si>
  <si>
    <t xml:space="preserve">Economic  </t>
  </si>
  <si>
    <t xml:space="preserve">Phenotypic  </t>
  </si>
  <si>
    <t>Response</t>
  </si>
  <si>
    <t>Units</t>
  </si>
  <si>
    <t>Accuracy of Index</t>
  </si>
  <si>
    <t>Trait</t>
  </si>
  <si>
    <t>SD Index</t>
  </si>
  <si>
    <t>own</t>
  </si>
  <si>
    <t>sire</t>
  </si>
  <si>
    <t>dam</t>
  </si>
  <si>
    <t>full sibs</t>
  </si>
  <si>
    <t>half sibs</t>
  </si>
  <si>
    <t>progeny</t>
  </si>
  <si>
    <t>fulls sibs</t>
  </si>
  <si>
    <t>c2 among</t>
  </si>
  <si>
    <t>-</t>
  </si>
  <si>
    <t>Parameters</t>
  </si>
  <si>
    <t>light blue cells</t>
  </si>
  <si>
    <t>MT-EBV</t>
  </si>
  <si>
    <t>ST-EBV</t>
  </si>
  <si>
    <t>Index weights</t>
  </si>
  <si>
    <t>Correlations</t>
  </si>
  <si>
    <t>Number of records</t>
  </si>
  <si>
    <t xml:space="preserve">Nr of traits  </t>
  </si>
  <si>
    <t>Results</t>
  </si>
  <si>
    <t>Genetic</t>
  </si>
  <si>
    <t>ability</t>
  </si>
  <si>
    <t xml:space="preserve">         Accuracy</t>
  </si>
  <si>
    <t>Repeat</t>
  </si>
  <si>
    <t>Herit</t>
  </si>
  <si>
    <t xml:space="preserve"> value </t>
  </si>
  <si>
    <t>Genetic standard deviation</t>
  </si>
  <si>
    <t>Input</t>
  </si>
  <si>
    <t>Enter data only in</t>
  </si>
  <si>
    <t>Physical</t>
  </si>
  <si>
    <t>Dollar value</t>
  </si>
  <si>
    <t>SD of breeding objective</t>
  </si>
  <si>
    <t xml:space="preserve">  </t>
  </si>
  <si>
    <t xml:space="preserve"> Genetic Covariance matrix as given (correlations below diagonal)</t>
  </si>
  <si>
    <t xml:space="preserve"> Residual Covariance matrix as given (correlations below diagonal) </t>
  </si>
  <si>
    <t xml:space="preserve"> </t>
  </si>
  <si>
    <t xml:space="preserve">   </t>
  </si>
  <si>
    <t xml:space="preserve"> Residual Covariance matrix POSITIVE DEFINITE </t>
  </si>
  <si>
    <t xml:space="preserve"> Genetic Covariance matrix POSITIVE DEFINITE </t>
  </si>
  <si>
    <t>weights</t>
  </si>
  <si>
    <t>MTINDEX</t>
  </si>
  <si>
    <t>is a simple spreadsheet for selection index calculations</t>
  </si>
  <si>
    <t>it uses a macro, so you need to allow usage of macros</t>
  </si>
  <si>
    <t>(see Tools&gt;Security&gt;Macro Security)</t>
  </si>
  <si>
    <t>It does</t>
  </si>
  <si>
    <t>Work out basic selection index</t>
  </si>
  <si>
    <t>accuracy</t>
  </si>
  <si>
    <t>response per trait in $ and trait units</t>
  </si>
  <si>
    <t>This is per 'selection round'</t>
  </si>
  <si>
    <t>For response per year, multiply by</t>
  </si>
  <si>
    <t>i/(Lf+Lm), where i is selection intensity, and L is generation interval</t>
  </si>
  <si>
    <t>Typically you would calculate different indices for males and females</t>
  </si>
  <si>
    <t>Or even for different ages classes</t>
  </si>
  <si>
    <t>Check whether parameters are consistent</t>
  </si>
  <si>
    <t>Provide accuracy per trait EBV, from single trait and multiple trait information</t>
  </si>
  <si>
    <t>Provide covariance matrix about MT-EBVs</t>
  </si>
  <si>
    <t>It does not handle</t>
  </si>
  <si>
    <t>Desired Gains</t>
  </si>
  <si>
    <t>(see for this MTINDEX_DESGAIN)</t>
  </si>
  <si>
    <t>Multiple Stage Selection</t>
  </si>
  <si>
    <t>Instruction:</t>
  </si>
  <si>
    <t>Input on in light blue cells, others are protected</t>
  </si>
  <si>
    <t>To run the program, just click on the RUN button (if this does not work, you might have turned on the 'Select Objects' button on the drawing toolbar)</t>
  </si>
  <si>
    <t>Produced by</t>
  </si>
  <si>
    <t>Julius van der Werf</t>
  </si>
  <si>
    <t>University of New England</t>
  </si>
  <si>
    <t>Armidale, Australia</t>
  </si>
  <si>
    <t>julius.vanderwerf@une.edu.au</t>
  </si>
  <si>
    <t>http://www-personal.une.edu.au/~jvanderw/</t>
  </si>
  <si>
    <t>other tools:</t>
  </si>
  <si>
    <t>http://www-personal.une.edu.au/~jvanderw/software.htm</t>
  </si>
  <si>
    <t>Milk</t>
  </si>
  <si>
    <t>Feed</t>
  </si>
  <si>
    <t>kg/day</t>
  </si>
  <si>
    <t>kg/lact</t>
  </si>
  <si>
    <t>Fertility</t>
  </si>
  <si>
    <t>Variance=Covariance matrix of MT_EBV's (correltion below diag)</t>
  </si>
  <si>
    <t>%</t>
  </si>
  <si>
    <t>Trait 1</t>
  </si>
  <si>
    <t>Trait 2</t>
  </si>
  <si>
    <t>t1</t>
  </si>
  <si>
    <t>t2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</si>
</sst>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2" formatCode="0.0000"/>
    <numFmt numFmtId="173" formatCode="0.000"/>
    <numFmt numFmtId="176" formatCode="0.0"/>
  </numFmts>
  <fonts count="20" x14ac:knownFonts="1">
    <font>
      <sz val="10"/>
      <name val="Arial"/>
    </font>
    <font>
      <sz val="10"/>
      <name val="Times New Roman"/>
      <family val="1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8"/>
      <name val="Times New Roman"/>
      <family val="1"/>
    </font>
    <font>
      <b/>
      <sz val="10"/>
      <color indexed="15"/>
      <name val="Arial"/>
      <family val="2"/>
    </font>
    <font>
      <sz val="9"/>
      <name val="Arial"/>
      <family val="2"/>
    </font>
    <font>
      <b/>
      <sz val="8"/>
      <color indexed="15"/>
      <name val="Arial"/>
      <family val="2"/>
    </font>
    <font>
      <sz val="12"/>
      <name val="Arial"/>
      <family val="2"/>
    </font>
    <font>
      <sz val="10"/>
      <color indexed="15"/>
      <name val="Arial"/>
      <family val="2"/>
    </font>
    <font>
      <b/>
      <sz val="14"/>
      <name val="Arial"/>
      <family val="2"/>
    </font>
    <font>
      <sz val="11"/>
      <name val="Arial"/>
      <family val="2"/>
    </font>
    <font>
      <b/>
      <sz val="10"/>
      <color indexed="41"/>
      <name val="Arial"/>
      <family val="2"/>
    </font>
    <font>
      <b/>
      <sz val="11"/>
      <name val="Arial"/>
      <family val="2"/>
    </font>
    <font>
      <sz val="14"/>
      <color indexed="41"/>
      <name val="Arial"/>
      <family val="2"/>
    </font>
    <font>
      <b/>
      <sz val="13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>
      <alignment vertical="top"/>
      <protection locked="0"/>
    </xf>
  </cellStyleXfs>
  <cellXfs count="143">
    <xf numFmtId="0" fontId="0" fillId="0" borderId="0" xfId="0"/>
    <xf numFmtId="0" fontId="0" fillId="0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0" fontId="0" fillId="5" borderId="0" xfId="0" applyFill="1" applyAlignment="1">
      <alignment horizontal="center"/>
    </xf>
    <xf numFmtId="2" fontId="0" fillId="5" borderId="0" xfId="0" applyNumberFormat="1" applyFill="1"/>
    <xf numFmtId="0" fontId="0" fillId="5" borderId="0" xfId="0" applyFill="1"/>
    <xf numFmtId="0" fontId="0" fillId="5" borderId="0" xfId="0" applyFill="1" applyBorder="1"/>
    <xf numFmtId="0" fontId="0" fillId="6" borderId="0" xfId="0" applyFill="1" applyBorder="1"/>
    <xf numFmtId="2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173" fontId="0" fillId="0" borderId="0" xfId="0" applyNumberFormat="1" applyFill="1"/>
    <xf numFmtId="0" fontId="0" fillId="6" borderId="1" xfId="0" applyFill="1" applyBorder="1"/>
    <xf numFmtId="0" fontId="0" fillId="2" borderId="1" xfId="0" applyFill="1" applyBorder="1" applyAlignment="1">
      <alignment horizontal="center"/>
    </xf>
    <xf numFmtId="173" fontId="0" fillId="7" borderId="0" xfId="0" applyNumberForma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6" fillId="8" borderId="0" xfId="0" applyFont="1" applyFill="1"/>
    <xf numFmtId="0" fontId="5" fillId="2" borderId="0" xfId="0" applyFont="1" applyFill="1"/>
    <xf numFmtId="0" fontId="7" fillId="2" borderId="0" xfId="0" applyFont="1" applyFill="1"/>
    <xf numFmtId="0" fontId="7" fillId="2" borderId="0" xfId="0" applyFont="1" applyFill="1" applyAlignment="1">
      <alignment horizontal="center"/>
    </xf>
    <xf numFmtId="0" fontId="8" fillId="8" borderId="0" xfId="0" applyFont="1" applyFill="1"/>
    <xf numFmtId="173" fontId="0" fillId="5" borderId="0" xfId="0" applyNumberFormat="1" applyFill="1" applyBorder="1"/>
    <xf numFmtId="0" fontId="0" fillId="5" borderId="2" xfId="0" applyFill="1" applyBorder="1"/>
    <xf numFmtId="0" fontId="0" fillId="7" borderId="1" xfId="0" applyFill="1" applyBorder="1" applyAlignment="1">
      <alignment horizontal="center"/>
    </xf>
    <xf numFmtId="173" fontId="0" fillId="7" borderId="1" xfId="0" applyNumberForma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8" borderId="0" xfId="0" applyFill="1" applyAlignment="1">
      <alignment horizontal="center"/>
    </xf>
    <xf numFmtId="0" fontId="6" fillId="8" borderId="0" xfId="0" applyFont="1" applyFill="1" applyAlignment="1">
      <alignment horizontal="center"/>
    </xf>
    <xf numFmtId="0" fontId="8" fillId="8" borderId="3" xfId="0" applyFont="1" applyFill="1" applyBorder="1"/>
    <xf numFmtId="0" fontId="0" fillId="2" borderId="4" xfId="0" applyFill="1" applyBorder="1"/>
    <xf numFmtId="0" fontId="0" fillId="3" borderId="4" xfId="0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0" fillId="2" borderId="5" xfId="0" applyFill="1" applyBorder="1" applyAlignment="1">
      <alignment horizontal="left"/>
    </xf>
    <xf numFmtId="0" fontId="0" fillId="8" borderId="0" xfId="0" applyFill="1"/>
    <xf numFmtId="0" fontId="8" fillId="8" borderId="4" xfId="0" applyFont="1" applyFill="1" applyBorder="1"/>
    <xf numFmtId="0" fontId="0" fillId="8" borderId="6" xfId="0" applyFill="1" applyBorder="1" applyAlignment="1">
      <alignment horizontal="center"/>
    </xf>
    <xf numFmtId="0" fontId="5" fillId="2" borderId="7" xfId="0" applyFont="1" applyFill="1" applyBorder="1"/>
    <xf numFmtId="0" fontId="5" fillId="2" borderId="0" xfId="0" applyFont="1" applyFill="1" applyBorder="1"/>
    <xf numFmtId="0" fontId="5" fillId="2" borderId="1" xfId="0" applyFont="1" applyFill="1" applyBorder="1"/>
    <xf numFmtId="0" fontId="0" fillId="3" borderId="1" xfId="0" applyFill="1" applyBorder="1"/>
    <xf numFmtId="2" fontId="0" fillId="6" borderId="4" xfId="0" applyNumberFormat="1" applyFill="1" applyBorder="1" applyAlignment="1">
      <alignment horizontal="center"/>
    </xf>
    <xf numFmtId="0" fontId="0" fillId="4" borderId="7" xfId="0" applyFill="1" applyBorder="1"/>
    <xf numFmtId="0" fontId="0" fillId="6" borderId="8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73" fontId="0" fillId="7" borderId="7" xfId="0" applyNumberFormat="1" applyFill="1" applyBorder="1" applyAlignment="1">
      <alignment horizontal="center"/>
    </xf>
    <xf numFmtId="173" fontId="0" fillId="7" borderId="8" xfId="0" applyNumberFormat="1" applyFill="1" applyBorder="1" applyAlignment="1">
      <alignment horizontal="center"/>
    </xf>
    <xf numFmtId="0" fontId="1" fillId="6" borderId="9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left"/>
    </xf>
    <xf numFmtId="0" fontId="2" fillId="7" borderId="9" xfId="0" applyFont="1" applyFill="1" applyBorder="1" applyAlignment="1">
      <alignment horizontal="center"/>
    </xf>
    <xf numFmtId="0" fontId="0" fillId="7" borderId="9" xfId="0" applyFill="1" applyBorder="1"/>
    <xf numFmtId="0" fontId="2" fillId="7" borderId="6" xfId="0" applyFont="1" applyFill="1" applyBorder="1"/>
    <xf numFmtId="0" fontId="0" fillId="5" borderId="10" xfId="0" applyFill="1" applyBorder="1"/>
    <xf numFmtId="0" fontId="0" fillId="5" borderId="11" xfId="0" applyFill="1" applyBorder="1"/>
    <xf numFmtId="0" fontId="0" fillId="4" borderId="6" xfId="0" applyFill="1" applyBorder="1"/>
    <xf numFmtId="0" fontId="0" fillId="4" borderId="8" xfId="0" applyFill="1" applyBorder="1"/>
    <xf numFmtId="2" fontId="0" fillId="5" borderId="0" xfId="0" applyNumberFormat="1" applyFill="1" applyAlignment="1">
      <alignment horizontal="center"/>
    </xf>
    <xf numFmtId="0" fontId="0" fillId="5" borderId="0" xfId="0" applyFill="1" applyAlignment="1">
      <alignment horizontal="right"/>
    </xf>
    <xf numFmtId="0" fontId="2" fillId="4" borderId="0" xfId="0" applyFont="1" applyFill="1"/>
    <xf numFmtId="0" fontId="11" fillId="4" borderId="1" xfId="0" applyFont="1" applyFill="1" applyBorder="1"/>
    <xf numFmtId="0" fontId="13" fillId="8" borderId="0" xfId="0" applyFont="1" applyFill="1"/>
    <xf numFmtId="173" fontId="0" fillId="5" borderId="12" xfId="0" applyNumberFormat="1" applyFill="1" applyBorder="1" applyAlignment="1">
      <alignment horizontal="center"/>
    </xf>
    <xf numFmtId="0" fontId="2" fillId="7" borderId="13" xfId="0" applyFont="1" applyFill="1" applyBorder="1" applyAlignment="1">
      <alignment horizontal="left"/>
    </xf>
    <xf numFmtId="0" fontId="0" fillId="7" borderId="5" xfId="0" applyFill="1" applyBorder="1" applyAlignment="1">
      <alignment horizontal="center"/>
    </xf>
    <xf numFmtId="173" fontId="0" fillId="7" borderId="4" xfId="0" applyNumberFormat="1" applyFill="1" applyBorder="1" applyAlignment="1">
      <alignment horizontal="center"/>
    </xf>
    <xf numFmtId="173" fontId="0" fillId="7" borderId="5" xfId="0" applyNumberFormat="1" applyFill="1" applyBorder="1" applyAlignment="1">
      <alignment horizontal="center"/>
    </xf>
    <xf numFmtId="0" fontId="2" fillId="5" borderId="14" xfId="0" applyFont="1" applyFill="1" applyBorder="1"/>
    <xf numFmtId="0" fontId="14" fillId="5" borderId="15" xfId="0" applyFont="1" applyFill="1" applyBorder="1"/>
    <xf numFmtId="0" fontId="0" fillId="6" borderId="5" xfId="0" applyFill="1" applyBorder="1" applyAlignment="1">
      <alignment horizontal="center"/>
    </xf>
    <xf numFmtId="2" fontId="0" fillId="5" borderId="12" xfId="0" applyNumberFormat="1" applyFill="1" applyBorder="1" applyAlignment="1">
      <alignment horizontal="center"/>
    </xf>
    <xf numFmtId="0" fontId="8" fillId="8" borderId="6" xfId="0" applyFont="1" applyFill="1" applyBorder="1"/>
    <xf numFmtId="0" fontId="0" fillId="2" borderId="8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2" fillId="6" borderId="6" xfId="0" applyFont="1" applyFill="1" applyBorder="1" applyAlignment="1">
      <alignment horizontal="center"/>
    </xf>
    <xf numFmtId="173" fontId="0" fillId="6" borderId="7" xfId="0" applyNumberFormat="1" applyFill="1" applyBorder="1" applyAlignment="1">
      <alignment horizontal="center"/>
    </xf>
    <xf numFmtId="173" fontId="0" fillId="6" borderId="8" xfId="0" applyNumberForma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10" fillId="2" borderId="17" xfId="0" applyFont="1" applyFill="1" applyBorder="1"/>
    <xf numFmtId="0" fontId="9" fillId="2" borderId="18" xfId="0" applyFont="1" applyFill="1" applyBorder="1"/>
    <xf numFmtId="0" fontId="0" fillId="4" borderId="0" xfId="0" applyFill="1" applyAlignment="1">
      <alignment horizontal="left"/>
    </xf>
    <xf numFmtId="0" fontId="15" fillId="3" borderId="0" xfId="0" applyFont="1" applyFill="1" applyBorder="1"/>
    <xf numFmtId="0" fontId="0" fillId="3" borderId="0" xfId="0" applyFill="1" applyAlignment="1">
      <alignment horizontal="left"/>
    </xf>
    <xf numFmtId="0" fontId="2" fillId="5" borderId="15" xfId="0" applyFont="1" applyFill="1" applyBorder="1" applyAlignment="1">
      <alignment horizontal="left"/>
    </xf>
    <xf numFmtId="0" fontId="2" fillId="5" borderId="0" xfId="0" applyFont="1" applyFill="1"/>
    <xf numFmtId="0" fontId="0" fillId="4" borderId="1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16" fillId="3" borderId="0" xfId="0" applyFont="1" applyFill="1"/>
    <xf numFmtId="0" fontId="12" fillId="3" borderId="15" xfId="0" applyFont="1" applyFill="1" applyBorder="1"/>
    <xf numFmtId="0" fontId="4" fillId="4" borderId="13" xfId="0" applyFont="1" applyFill="1" applyBorder="1"/>
    <xf numFmtId="0" fontId="4" fillId="4" borderId="5" xfId="0" applyFont="1" applyFill="1" applyBorder="1"/>
    <xf numFmtId="2" fontId="0" fillId="6" borderId="7" xfId="0" applyNumberForma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2" fontId="0" fillId="2" borderId="13" xfId="0" applyNumberFormat="1" applyFill="1" applyBorder="1" applyAlignment="1">
      <alignment horizontal="center"/>
    </xf>
    <xf numFmtId="2" fontId="0" fillId="2" borderId="4" xfId="0" applyNumberFormat="1" applyFill="1" applyBorder="1" applyAlignment="1">
      <alignment horizontal="center"/>
    </xf>
    <xf numFmtId="2" fontId="0" fillId="2" borderId="5" xfId="0" applyNumberFormat="1" applyFill="1" applyBorder="1" applyAlignment="1">
      <alignment horizontal="center"/>
    </xf>
    <xf numFmtId="0" fontId="2" fillId="2" borderId="13" xfId="0" applyFont="1" applyFill="1" applyBorder="1" applyAlignment="1">
      <alignment horizontal="left"/>
    </xf>
    <xf numFmtId="0" fontId="2" fillId="6" borderId="13" xfId="0" applyFont="1" applyFill="1" applyBorder="1" applyAlignment="1">
      <alignment horizontal="left"/>
    </xf>
    <xf numFmtId="173" fontId="0" fillId="6" borderId="4" xfId="0" applyNumberFormat="1" applyFill="1" applyBorder="1" applyAlignment="1">
      <alignment horizontal="center"/>
    </xf>
    <xf numFmtId="173" fontId="0" fillId="6" borderId="5" xfId="0" applyNumberFormat="1" applyFill="1" applyBorder="1" applyAlignment="1">
      <alignment horizontal="center"/>
    </xf>
    <xf numFmtId="0" fontId="17" fillId="2" borderId="9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left"/>
    </xf>
    <xf numFmtId="0" fontId="2" fillId="2" borderId="1" xfId="0" applyFont="1" applyFill="1" applyBorder="1" applyAlignment="1">
      <alignment horizontal="right"/>
    </xf>
    <xf numFmtId="2" fontId="0" fillId="7" borderId="0" xfId="0" applyNumberFormat="1" applyFill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right"/>
    </xf>
    <xf numFmtId="2" fontId="0" fillId="6" borderId="13" xfId="0" applyNumberFormat="1" applyFill="1" applyBorder="1" applyAlignment="1">
      <alignment horizontal="left"/>
    </xf>
    <xf numFmtId="2" fontId="0" fillId="6" borderId="5" xfId="0" applyNumberFormat="1" applyFill="1" applyBorder="1" applyAlignment="1">
      <alignment horizontal="center"/>
    </xf>
    <xf numFmtId="0" fontId="18" fillId="5" borderId="10" xfId="0" applyFont="1" applyFill="1" applyBorder="1"/>
    <xf numFmtId="2" fontId="0" fillId="6" borderId="19" xfId="0" applyNumberFormat="1" applyFill="1" applyBorder="1" applyAlignment="1">
      <alignment horizontal="center"/>
    </xf>
    <xf numFmtId="0" fontId="1" fillId="2" borderId="8" xfId="0" applyFont="1" applyFill="1" applyBorder="1" applyAlignment="1">
      <alignment horizontal="left"/>
    </xf>
    <xf numFmtId="0" fontId="18" fillId="5" borderId="20" xfId="0" applyFont="1" applyFill="1" applyBorder="1"/>
    <xf numFmtId="172" fontId="0" fillId="5" borderId="12" xfId="0" applyNumberFormat="1" applyFill="1" applyBorder="1" applyAlignment="1">
      <alignment horizontal="center"/>
    </xf>
    <xf numFmtId="0" fontId="0" fillId="5" borderId="5" xfId="0" applyFill="1" applyBorder="1"/>
    <xf numFmtId="0" fontId="0" fillId="0" borderId="1" xfId="0" applyBorder="1"/>
    <xf numFmtId="0" fontId="8" fillId="5" borderId="1" xfId="0" applyFont="1" applyFill="1" applyBorder="1"/>
    <xf numFmtId="0" fontId="0" fillId="5" borderId="1" xfId="0" applyFill="1" applyBorder="1"/>
    <xf numFmtId="0" fontId="0" fillId="6" borderId="0" xfId="0" applyFill="1" applyAlignment="1">
      <alignment horizontal="center"/>
    </xf>
    <xf numFmtId="0" fontId="0" fillId="6" borderId="6" xfId="0" applyFill="1" applyBorder="1" applyAlignment="1">
      <alignment horizontal="center"/>
    </xf>
    <xf numFmtId="173" fontId="0" fillId="6" borderId="0" xfId="0" applyNumberFormat="1" applyFill="1" applyAlignment="1">
      <alignment horizontal="center"/>
    </xf>
    <xf numFmtId="0" fontId="0" fillId="0" borderId="0" xfId="0" applyBorder="1"/>
    <xf numFmtId="2" fontId="0" fillId="6" borderId="1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6" borderId="0" xfId="0" applyNumberFormat="1" applyFill="1" applyAlignment="1">
      <alignment horizontal="center"/>
    </xf>
    <xf numFmtId="0" fontId="17" fillId="5" borderId="0" xfId="0" applyFont="1" applyFill="1"/>
    <xf numFmtId="0" fontId="19" fillId="5" borderId="0" xfId="1" applyFill="1" applyAlignment="1" applyProtection="1"/>
    <xf numFmtId="0" fontId="4" fillId="3" borderId="0" xfId="0" applyFont="1" applyFill="1" applyAlignment="1">
      <alignment horizontal="center"/>
    </xf>
    <xf numFmtId="176" fontId="0" fillId="3" borderId="0" xfId="0" applyNumberFormat="1" applyFill="1" applyAlignment="1">
      <alignment horizontal="center"/>
    </xf>
    <xf numFmtId="0" fontId="4" fillId="6" borderId="0" xfId="0" applyFont="1" applyFill="1" applyAlignment="1">
      <alignment horizontal="left"/>
    </xf>
    <xf numFmtId="0" fontId="0" fillId="3" borderId="7" xfId="0" applyFill="1" applyBorder="1"/>
    <xf numFmtId="0" fontId="0" fillId="3" borderId="8" xfId="0" applyFill="1" applyBorder="1"/>
    <xf numFmtId="0" fontId="5" fillId="2" borderId="0" xfId="0" applyFont="1" applyFill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8217" name="Line 1"/>
        <xdr:cNvSpPr>
          <a:spLocks noChangeShapeType="1"/>
        </xdr:cNvSpPr>
      </xdr:nvSpPr>
      <xdr:spPr bwMode="auto">
        <a:xfrm flipV="1">
          <a:off x="3657600" y="393954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289560</xdr:colOff>
      <xdr:row>20</xdr:row>
      <xdr:rowOff>89535</xdr:rowOff>
    </xdr:from>
    <xdr:to>
      <xdr:col>3</xdr:col>
      <xdr:colOff>325752</xdr:colOff>
      <xdr:row>21</xdr:row>
      <xdr:rowOff>192541</xdr:rowOff>
    </xdr:to>
    <xdr:sp macro="[0]!blup" textlink="">
      <xdr:nvSpPr>
        <xdr:cNvPr id="3" name="Text Box 2"/>
        <xdr:cNvSpPr txBox="1">
          <a:spLocks noChangeArrowheads="1"/>
        </xdr:cNvSpPr>
      </xdr:nvSpPr>
      <xdr:spPr bwMode="auto">
        <a:xfrm>
          <a:off x="794385" y="3529965"/>
          <a:ext cx="1438275" cy="280317"/>
        </a:xfrm>
        <a:prstGeom prst="rect">
          <a:avLst/>
        </a:prstGeom>
        <a:solidFill>
          <a:srgbClr val="FF00FF"/>
        </a:solidFill>
        <a:ln w="9525">
          <a:noFill/>
          <a:miter lim="800000"/>
          <a:headEnd/>
          <a:tailEnd/>
        </a:ln>
      </xdr:spPr>
      <xdr:txBody>
        <a:bodyPr vertOverflow="clip" wrap="square" lIns="45720" tIns="32004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2115" name="Line 1"/>
        <xdr:cNvSpPr>
          <a:spLocks noChangeShapeType="1"/>
        </xdr:cNvSpPr>
      </xdr:nvSpPr>
      <xdr:spPr bwMode="auto">
        <a:xfrm flipV="1">
          <a:off x="3657600" y="393954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297180</xdr:colOff>
      <xdr:row>20</xdr:row>
      <xdr:rowOff>89535</xdr:rowOff>
    </xdr:from>
    <xdr:to>
      <xdr:col>3</xdr:col>
      <xdr:colOff>333356</xdr:colOff>
      <xdr:row>21</xdr:row>
      <xdr:rowOff>192374</xdr:rowOff>
    </xdr:to>
    <xdr:sp macro="[0]!blup" textlink="">
      <xdr:nvSpPr>
        <xdr:cNvPr id="2050" name="Text Box 2"/>
        <xdr:cNvSpPr txBox="1">
          <a:spLocks noChangeArrowheads="1"/>
        </xdr:cNvSpPr>
      </xdr:nvSpPr>
      <xdr:spPr bwMode="auto">
        <a:xfrm>
          <a:off x="807720" y="3558540"/>
          <a:ext cx="1470660" cy="266700"/>
        </a:xfrm>
        <a:prstGeom prst="rect">
          <a:avLst/>
        </a:prstGeom>
        <a:solidFill>
          <a:srgbClr val="FF00FF"/>
        </a:solidFill>
        <a:ln w="9525">
          <a:noFill/>
          <a:miter lim="800000"/>
          <a:headEnd/>
          <a:tailEnd/>
        </a:ln>
      </xdr:spPr>
      <xdr:txBody>
        <a:bodyPr vertOverflow="clip" wrap="square" lIns="45720" tIns="32004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7211" name="Line 1"/>
        <xdr:cNvSpPr>
          <a:spLocks noChangeShapeType="1"/>
        </xdr:cNvSpPr>
      </xdr:nvSpPr>
      <xdr:spPr bwMode="auto">
        <a:xfrm flipV="1">
          <a:off x="3657600" y="393954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297180</xdr:colOff>
      <xdr:row>20</xdr:row>
      <xdr:rowOff>89535</xdr:rowOff>
    </xdr:from>
    <xdr:to>
      <xdr:col>3</xdr:col>
      <xdr:colOff>333356</xdr:colOff>
      <xdr:row>21</xdr:row>
      <xdr:rowOff>192374</xdr:rowOff>
    </xdr:to>
    <xdr:sp macro="[0]!blup" textlink="">
      <xdr:nvSpPr>
        <xdr:cNvPr id="3" name="Text Box 2"/>
        <xdr:cNvSpPr txBox="1">
          <a:spLocks noChangeArrowheads="1"/>
        </xdr:cNvSpPr>
      </xdr:nvSpPr>
      <xdr:spPr bwMode="auto">
        <a:xfrm>
          <a:off x="794385" y="3529965"/>
          <a:ext cx="1438275" cy="280317"/>
        </a:xfrm>
        <a:prstGeom prst="rect">
          <a:avLst/>
        </a:prstGeom>
        <a:solidFill>
          <a:srgbClr val="FF00FF"/>
        </a:solidFill>
        <a:ln w="9525">
          <a:noFill/>
          <a:miter lim="800000"/>
          <a:headEnd/>
          <a:tailEnd/>
        </a:ln>
      </xdr:spPr>
      <xdr:txBody>
        <a:bodyPr vertOverflow="clip" wrap="square" lIns="45720" tIns="32004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388620</xdr:colOff>
      <xdr:row>22</xdr:row>
      <xdr:rowOff>30480</xdr:rowOff>
    </xdr:from>
    <xdr:to>
      <xdr:col>5</xdr:col>
      <xdr:colOff>388620</xdr:colOff>
      <xdr:row>22</xdr:row>
      <xdr:rowOff>182880</xdr:rowOff>
    </xdr:to>
    <xdr:sp macro="" textlink="">
      <xdr:nvSpPr>
        <xdr:cNvPr id="9217" name="Line 1"/>
        <xdr:cNvSpPr>
          <a:spLocks noChangeShapeType="1"/>
        </xdr:cNvSpPr>
      </xdr:nvSpPr>
      <xdr:spPr bwMode="auto">
        <a:xfrm flipV="1">
          <a:off x="3657600" y="3939540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</xdr:col>
      <xdr:colOff>297180</xdr:colOff>
      <xdr:row>20</xdr:row>
      <xdr:rowOff>89535</xdr:rowOff>
    </xdr:from>
    <xdr:to>
      <xdr:col>3</xdr:col>
      <xdr:colOff>333356</xdr:colOff>
      <xdr:row>21</xdr:row>
      <xdr:rowOff>192374</xdr:rowOff>
    </xdr:to>
    <xdr:sp macro="[0]!blup" textlink="">
      <xdr:nvSpPr>
        <xdr:cNvPr id="3" name="Text Box 2"/>
        <xdr:cNvSpPr txBox="1">
          <a:spLocks noChangeArrowheads="1"/>
        </xdr:cNvSpPr>
      </xdr:nvSpPr>
      <xdr:spPr bwMode="auto">
        <a:xfrm>
          <a:off x="794385" y="3529965"/>
          <a:ext cx="1438275" cy="280317"/>
        </a:xfrm>
        <a:prstGeom prst="rect">
          <a:avLst/>
        </a:prstGeom>
        <a:solidFill>
          <a:srgbClr val="FF00FF"/>
        </a:solidFill>
        <a:ln w="9525">
          <a:noFill/>
          <a:miter lim="800000"/>
          <a:headEnd/>
          <a:tailEnd/>
        </a:ln>
      </xdr:spPr>
      <xdr:txBody>
        <a:bodyPr vertOverflow="clip" wrap="square" lIns="45720" tIns="32004" rIns="0" bIns="0" anchor="t" upright="1"/>
        <a:lstStyle/>
        <a:p>
          <a:pPr algn="l" rtl="0">
            <a:defRPr sz="1000"/>
          </a:pPr>
          <a:r>
            <a:rPr lang="en-AU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Run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julius.vanderwerf@une.edu.a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I248"/>
  <sheetViews>
    <sheetView workbookViewId="0">
      <selection activeCell="E41" sqref="E41"/>
    </sheetView>
  </sheetViews>
  <sheetFormatPr defaultRowHeight="13.2" x14ac:dyDescent="0.25"/>
  <sheetData>
    <row r="1" spans="1:87" x14ac:dyDescent="0.25">
      <c r="A1" s="9"/>
      <c r="B1" s="9"/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</row>
    <row r="2" spans="1:87" ht="15.6" x14ac:dyDescent="0.3">
      <c r="A2" s="9"/>
      <c r="B2" s="135" t="s">
        <v>49</v>
      </c>
      <c r="C2" s="135" t="s">
        <v>50</v>
      </c>
      <c r="D2" s="135"/>
      <c r="E2" s="135"/>
      <c r="F2" s="135"/>
      <c r="G2" s="135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</row>
    <row r="3" spans="1:87" x14ac:dyDescent="0.25">
      <c r="A3" s="9"/>
      <c r="B3" s="9"/>
      <c r="C3" s="9" t="s">
        <v>51</v>
      </c>
      <c r="D3" s="9"/>
      <c r="E3" s="9"/>
      <c r="F3" s="9"/>
      <c r="G3" s="9"/>
      <c r="H3" s="9" t="s">
        <v>52</v>
      </c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</row>
    <row r="4" spans="1:87" x14ac:dyDescent="0.25">
      <c r="A4" s="9"/>
      <c r="B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</row>
    <row r="5" spans="1:87" x14ac:dyDescent="0.25">
      <c r="A5" s="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</row>
    <row r="6" spans="1:87" x14ac:dyDescent="0.25">
      <c r="A6" s="9"/>
      <c r="B6" s="9"/>
      <c r="C6" s="9" t="s">
        <v>53</v>
      </c>
      <c r="D6" s="9" t="s">
        <v>54</v>
      </c>
      <c r="E6" s="9"/>
      <c r="F6" s="9"/>
      <c r="G6" s="9" t="s">
        <v>48</v>
      </c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</row>
    <row r="7" spans="1:87" x14ac:dyDescent="0.25">
      <c r="A7" s="9"/>
      <c r="B7" s="9"/>
      <c r="C7" s="9"/>
      <c r="D7" s="9"/>
      <c r="E7" s="9"/>
      <c r="F7" s="9"/>
      <c r="G7" s="10" t="s">
        <v>55</v>
      </c>
      <c r="H7" s="10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</row>
    <row r="8" spans="1:87" x14ac:dyDescent="0.25">
      <c r="A8" s="9"/>
      <c r="B8" s="9"/>
      <c r="C8" s="9"/>
      <c r="D8" s="9"/>
      <c r="E8" s="9"/>
      <c r="F8" s="9"/>
      <c r="G8" s="10" t="s">
        <v>56</v>
      </c>
      <c r="H8" s="10"/>
      <c r="I8" s="9"/>
      <c r="J8" s="9"/>
      <c r="K8" s="9" t="s">
        <v>57</v>
      </c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</row>
    <row r="9" spans="1:87" x14ac:dyDescent="0.25">
      <c r="A9" s="9"/>
      <c r="B9" s="9"/>
      <c r="C9" s="9"/>
      <c r="D9" s="9"/>
      <c r="E9" s="9"/>
      <c r="F9" s="9"/>
      <c r="G9" s="10"/>
      <c r="H9" s="10"/>
      <c r="I9" s="9"/>
      <c r="J9" s="9"/>
      <c r="K9" s="9" t="s">
        <v>58</v>
      </c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</row>
    <row r="10" spans="1:87" x14ac:dyDescent="0.25">
      <c r="A10" s="9"/>
      <c r="B10" s="9"/>
      <c r="C10" s="9"/>
      <c r="D10" s="9"/>
      <c r="E10" s="9"/>
      <c r="F10" s="9"/>
      <c r="G10" s="10"/>
      <c r="H10" s="10"/>
      <c r="I10" s="9"/>
      <c r="J10" s="9"/>
      <c r="K10" s="9" t="s">
        <v>59</v>
      </c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</row>
    <row r="11" spans="1:87" x14ac:dyDescent="0.25">
      <c r="A11" s="9"/>
      <c r="B11" s="9"/>
      <c r="C11" s="9"/>
      <c r="D11" s="9"/>
      <c r="E11" s="9"/>
      <c r="F11" s="9"/>
      <c r="G11" s="10"/>
      <c r="H11" s="10"/>
      <c r="I11" s="9"/>
      <c r="J11" s="9"/>
      <c r="K11" s="9" t="s">
        <v>60</v>
      </c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</row>
    <row r="12" spans="1:87" x14ac:dyDescent="0.25">
      <c r="A12" s="9"/>
      <c r="B12" s="9"/>
      <c r="C12" s="9"/>
      <c r="D12" s="9"/>
      <c r="E12" s="9"/>
      <c r="F12" s="9"/>
      <c r="G12" s="10"/>
      <c r="H12" s="10"/>
      <c r="I12" s="9"/>
      <c r="J12" s="9"/>
      <c r="K12" s="9" t="s">
        <v>61</v>
      </c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</row>
    <row r="13" spans="1:87" x14ac:dyDescent="0.25">
      <c r="A13" s="9"/>
      <c r="B13" s="9"/>
      <c r="C13" s="9"/>
      <c r="D13" s="9" t="s">
        <v>62</v>
      </c>
      <c r="E13" s="9"/>
      <c r="F13" s="9"/>
      <c r="G13" s="10"/>
      <c r="H13" s="10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</row>
    <row r="14" spans="1:87" x14ac:dyDescent="0.25">
      <c r="A14" s="9"/>
      <c r="B14" s="9"/>
      <c r="C14" s="9"/>
      <c r="D14" s="9" t="s">
        <v>63</v>
      </c>
      <c r="E14" s="9"/>
      <c r="F14" s="9"/>
      <c r="G14" s="131"/>
      <c r="H14" s="10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</row>
    <row r="15" spans="1:87" x14ac:dyDescent="0.25">
      <c r="A15" s="9"/>
      <c r="B15" s="9"/>
      <c r="C15" s="9"/>
      <c r="D15" s="9" t="s">
        <v>64</v>
      </c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</row>
    <row r="16" spans="1:87" x14ac:dyDescent="0.25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</row>
    <row r="17" spans="1:87" x14ac:dyDescent="0.25">
      <c r="A17" s="9"/>
      <c r="B17" s="9"/>
      <c r="C17" s="9" t="s">
        <v>65</v>
      </c>
      <c r="D17" s="9"/>
      <c r="E17" s="9" t="s">
        <v>66</v>
      </c>
      <c r="F17" s="9"/>
      <c r="G17" s="9" t="s">
        <v>67</v>
      </c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</row>
    <row r="18" spans="1:87" x14ac:dyDescent="0.25">
      <c r="A18" s="9"/>
      <c r="B18" s="9"/>
      <c r="C18" s="9"/>
      <c r="D18" s="9"/>
      <c r="E18" s="9" t="s">
        <v>68</v>
      </c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</row>
    <row r="19" spans="1:87" x14ac:dyDescent="0.25">
      <c r="A19" s="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</row>
    <row r="20" spans="1:87" x14ac:dyDescent="0.25">
      <c r="A20" s="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</row>
    <row r="21" spans="1:87" x14ac:dyDescent="0.25">
      <c r="A21" s="9"/>
      <c r="B21" s="9"/>
      <c r="C21" s="9" t="s">
        <v>69</v>
      </c>
      <c r="D21" s="9"/>
      <c r="E21" s="9" t="s">
        <v>70</v>
      </c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</row>
    <row r="22" spans="1:87" x14ac:dyDescent="0.25">
      <c r="A22" s="9"/>
      <c r="B22" s="9"/>
      <c r="C22" s="9"/>
      <c r="D22" s="9"/>
      <c r="E22" s="9" t="s">
        <v>71</v>
      </c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</row>
    <row r="23" spans="1:87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</row>
    <row r="24" spans="1:87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</row>
    <row r="25" spans="1:87" x14ac:dyDescent="0.25">
      <c r="A25" s="9"/>
      <c r="B25" s="9"/>
      <c r="C25" s="9" t="s">
        <v>72</v>
      </c>
      <c r="D25" s="9"/>
      <c r="E25" s="9" t="s">
        <v>73</v>
      </c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</row>
    <row r="26" spans="1:87" x14ac:dyDescent="0.25">
      <c r="A26" s="9"/>
      <c r="B26" s="9"/>
      <c r="C26" s="9"/>
      <c r="D26" s="9"/>
      <c r="E26" s="9" t="s">
        <v>74</v>
      </c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</row>
    <row r="27" spans="1:87" x14ac:dyDescent="0.25">
      <c r="A27" s="9"/>
      <c r="B27" s="9"/>
      <c r="C27" s="9"/>
      <c r="D27" s="9"/>
      <c r="E27" s="9" t="s">
        <v>75</v>
      </c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</row>
    <row r="28" spans="1:87" x14ac:dyDescent="0.25">
      <c r="A28" s="9"/>
      <c r="B28" s="9"/>
      <c r="C28" s="9"/>
      <c r="D28" s="9"/>
      <c r="E28" s="136" t="s">
        <v>76</v>
      </c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</row>
    <row r="29" spans="1:87" x14ac:dyDescent="0.25">
      <c r="A29" s="9"/>
      <c r="B29" s="9"/>
      <c r="C29" s="9"/>
      <c r="D29" s="9"/>
      <c r="E29" s="9" t="s">
        <v>77</v>
      </c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</row>
    <row r="30" spans="1:87" x14ac:dyDescent="0.25">
      <c r="A30" s="9"/>
      <c r="B30" s="9"/>
      <c r="C30" s="9"/>
      <c r="D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</row>
    <row r="31" spans="1:87" x14ac:dyDescent="0.25">
      <c r="A31" s="9"/>
      <c r="B31" s="9"/>
      <c r="C31" s="9"/>
      <c r="D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</row>
    <row r="32" spans="1:87" x14ac:dyDescent="0.25">
      <c r="A32" s="9"/>
      <c r="B32" s="9"/>
      <c r="C32" s="9"/>
      <c r="D32" s="9"/>
      <c r="E32" s="9" t="s">
        <v>78</v>
      </c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</row>
    <row r="33" spans="1:87" x14ac:dyDescent="0.25">
      <c r="A33" s="9"/>
      <c r="B33" s="9"/>
      <c r="C33" s="9"/>
      <c r="D33" s="9"/>
      <c r="E33" s="9" t="s">
        <v>79</v>
      </c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</row>
    <row r="34" spans="1:87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</row>
    <row r="35" spans="1:87" x14ac:dyDescent="0.25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</row>
    <row r="36" spans="1:87" x14ac:dyDescent="0.25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</row>
    <row r="37" spans="1:87" x14ac:dyDescent="0.25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</row>
    <row r="38" spans="1:87" x14ac:dyDescent="0.25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</row>
    <row r="39" spans="1:87" x14ac:dyDescent="0.25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</row>
    <row r="40" spans="1:87" x14ac:dyDescent="0.25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</row>
    <row r="41" spans="1:87" x14ac:dyDescent="0.25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</row>
    <row r="42" spans="1:87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</row>
    <row r="43" spans="1:87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</row>
    <row r="44" spans="1:87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</row>
    <row r="45" spans="1:87" x14ac:dyDescent="0.25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</row>
    <row r="46" spans="1:87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</row>
    <row r="47" spans="1:87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</row>
    <row r="48" spans="1:87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</row>
    <row r="49" spans="1:87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</row>
    <row r="50" spans="1:87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</row>
    <row r="51" spans="1:87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</row>
    <row r="52" spans="1:87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</row>
    <row r="53" spans="1:87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</row>
    <row r="54" spans="1:87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</row>
    <row r="55" spans="1:87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</row>
    <row r="56" spans="1:87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</row>
    <row r="57" spans="1:87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</row>
    <row r="58" spans="1:87" x14ac:dyDescent="0.25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</row>
    <row r="59" spans="1:87" x14ac:dyDescent="0.25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</row>
    <row r="60" spans="1:87" x14ac:dyDescent="0.25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</row>
    <row r="61" spans="1:87" x14ac:dyDescent="0.25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</row>
    <row r="62" spans="1:87" x14ac:dyDescent="0.25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</row>
    <row r="63" spans="1:87" x14ac:dyDescent="0.25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</row>
    <row r="64" spans="1:87" x14ac:dyDescent="0.25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</row>
    <row r="65" spans="1:87" x14ac:dyDescent="0.25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</row>
    <row r="66" spans="1:87" x14ac:dyDescent="0.25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</row>
    <row r="67" spans="1:87" x14ac:dyDescent="0.25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</row>
    <row r="68" spans="1:87" x14ac:dyDescent="0.25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</row>
    <row r="69" spans="1:87" x14ac:dyDescent="0.25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</row>
    <row r="70" spans="1:87" x14ac:dyDescent="0.2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</row>
    <row r="71" spans="1:87" x14ac:dyDescent="0.25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</row>
    <row r="72" spans="1:87" x14ac:dyDescent="0.25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</row>
    <row r="73" spans="1:87" x14ac:dyDescent="0.25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</row>
    <row r="74" spans="1:87" x14ac:dyDescent="0.25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</row>
    <row r="75" spans="1:87" x14ac:dyDescent="0.25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</row>
    <row r="76" spans="1:87" x14ac:dyDescent="0.25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</row>
    <row r="77" spans="1:87" x14ac:dyDescent="0.25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</row>
    <row r="78" spans="1:87" x14ac:dyDescent="0.25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</row>
    <row r="79" spans="1:87" x14ac:dyDescent="0.25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</row>
    <row r="80" spans="1:87" x14ac:dyDescent="0.25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</row>
    <row r="81" spans="1:87" x14ac:dyDescent="0.25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</row>
    <row r="82" spans="1:87" x14ac:dyDescent="0.25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</row>
    <row r="83" spans="1:87" x14ac:dyDescent="0.25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</row>
    <row r="84" spans="1:87" x14ac:dyDescent="0.25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</row>
    <row r="85" spans="1:87" x14ac:dyDescent="0.25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</row>
    <row r="86" spans="1:87" x14ac:dyDescent="0.25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</row>
    <row r="87" spans="1:87" x14ac:dyDescent="0.25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</row>
    <row r="88" spans="1:87" x14ac:dyDescent="0.25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</row>
    <row r="89" spans="1:87" x14ac:dyDescent="0.25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</row>
    <row r="90" spans="1:87" x14ac:dyDescent="0.25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</row>
    <row r="91" spans="1:87" x14ac:dyDescent="0.25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</row>
    <row r="92" spans="1:87" x14ac:dyDescent="0.25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</row>
    <row r="93" spans="1:87" x14ac:dyDescent="0.25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</row>
    <row r="94" spans="1:87" x14ac:dyDescent="0.25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</row>
    <row r="95" spans="1:87" x14ac:dyDescent="0.25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</row>
    <row r="96" spans="1:87" x14ac:dyDescent="0.25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</row>
    <row r="97" spans="1:87" x14ac:dyDescent="0.25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</row>
    <row r="98" spans="1:87" x14ac:dyDescent="0.25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</row>
    <row r="99" spans="1:87" x14ac:dyDescent="0.25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</row>
    <row r="100" spans="1:87" x14ac:dyDescent="0.25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</row>
    <row r="101" spans="1:87" x14ac:dyDescent="0.25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</row>
    <row r="102" spans="1:87" x14ac:dyDescent="0.25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</row>
    <row r="103" spans="1:87" x14ac:dyDescent="0.25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</row>
    <row r="104" spans="1:87" x14ac:dyDescent="0.25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</row>
    <row r="105" spans="1:87" x14ac:dyDescent="0.25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</row>
    <row r="106" spans="1:87" x14ac:dyDescent="0.25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</row>
    <row r="107" spans="1:87" x14ac:dyDescent="0.25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</row>
    <row r="108" spans="1:87" x14ac:dyDescent="0.25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</row>
    <row r="109" spans="1:87" x14ac:dyDescent="0.25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</row>
    <row r="110" spans="1:87" x14ac:dyDescent="0.25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</row>
    <row r="111" spans="1:87" x14ac:dyDescent="0.25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</row>
    <row r="112" spans="1:87" x14ac:dyDescent="0.25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</row>
    <row r="113" spans="1:87" x14ac:dyDescent="0.25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</row>
    <row r="114" spans="1:87" x14ac:dyDescent="0.25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</row>
    <row r="115" spans="1:87" x14ac:dyDescent="0.25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</row>
    <row r="116" spans="1:87" x14ac:dyDescent="0.25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</row>
    <row r="117" spans="1:87" x14ac:dyDescent="0.25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</row>
    <row r="118" spans="1:87" x14ac:dyDescent="0.25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</row>
    <row r="119" spans="1:87" x14ac:dyDescent="0.25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</row>
    <row r="120" spans="1:87" x14ac:dyDescent="0.25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</row>
    <row r="121" spans="1:87" x14ac:dyDescent="0.25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</row>
    <row r="122" spans="1:87" x14ac:dyDescent="0.25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</row>
    <row r="123" spans="1:87" x14ac:dyDescent="0.25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</row>
    <row r="124" spans="1:87" x14ac:dyDescent="0.25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</row>
    <row r="125" spans="1:87" x14ac:dyDescent="0.25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</row>
    <row r="126" spans="1:87" x14ac:dyDescent="0.25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</row>
    <row r="127" spans="1:87" x14ac:dyDescent="0.25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</row>
    <row r="128" spans="1:87" x14ac:dyDescent="0.25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</row>
    <row r="129" spans="1:87" x14ac:dyDescent="0.25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  <c r="AI129" s="9"/>
      <c r="AJ129" s="9"/>
      <c r="AK129" s="9"/>
      <c r="AL129" s="9"/>
      <c r="AM129" s="9"/>
      <c r="AN129" s="9"/>
      <c r="AO129" s="9"/>
      <c r="AP129" s="9"/>
      <c r="AQ129" s="9"/>
      <c r="AR129" s="9"/>
      <c r="AS129" s="9"/>
      <c r="AT129" s="9"/>
      <c r="AU129" s="9"/>
      <c r="AV129" s="9"/>
      <c r="AW129" s="9"/>
      <c r="AX129" s="9"/>
      <c r="AY129" s="9"/>
      <c r="AZ129" s="9"/>
      <c r="BA129" s="9"/>
      <c r="BB129" s="9"/>
      <c r="BC129" s="9"/>
      <c r="BD129" s="9"/>
      <c r="BE129" s="9"/>
      <c r="BF129" s="9"/>
      <c r="BG129" s="9"/>
      <c r="BH129" s="9"/>
      <c r="BI129" s="9"/>
      <c r="BJ129" s="9"/>
      <c r="BK129" s="9"/>
      <c r="BL129" s="9"/>
      <c r="BM129" s="9"/>
      <c r="BN129" s="9"/>
      <c r="BO129" s="9"/>
      <c r="BP129" s="9"/>
      <c r="BQ129" s="9"/>
      <c r="BR129" s="9"/>
      <c r="BS129" s="9"/>
      <c r="BT129" s="9"/>
      <c r="BU129" s="9"/>
      <c r="BV129" s="9"/>
      <c r="BW129" s="9"/>
      <c r="BX129" s="9"/>
      <c r="BY129" s="9"/>
      <c r="BZ129" s="9"/>
      <c r="CA129" s="9"/>
      <c r="CB129" s="9"/>
      <c r="CC129" s="9"/>
      <c r="CD129" s="9"/>
      <c r="CE129" s="9"/>
      <c r="CF129" s="9"/>
      <c r="CG129" s="9"/>
      <c r="CH129" s="9"/>
      <c r="CI129" s="9"/>
    </row>
    <row r="130" spans="1:87" x14ac:dyDescent="0.25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</row>
    <row r="131" spans="1:87" x14ac:dyDescent="0.25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</row>
    <row r="132" spans="1:87" x14ac:dyDescent="0.25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</row>
    <row r="133" spans="1:87" x14ac:dyDescent="0.25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</row>
    <row r="134" spans="1:87" x14ac:dyDescent="0.25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</row>
    <row r="135" spans="1:87" x14ac:dyDescent="0.25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</row>
    <row r="136" spans="1:87" x14ac:dyDescent="0.25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</row>
    <row r="137" spans="1:87" x14ac:dyDescent="0.25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</row>
    <row r="138" spans="1:87" x14ac:dyDescent="0.25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</row>
    <row r="139" spans="1:87" x14ac:dyDescent="0.25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</row>
    <row r="140" spans="1:87" x14ac:dyDescent="0.25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  <c r="AI140" s="9"/>
      <c r="AJ140" s="9"/>
      <c r="AK140" s="9"/>
      <c r="AL140" s="9"/>
      <c r="AM140" s="9"/>
      <c r="AN140" s="9"/>
      <c r="AO140" s="9"/>
      <c r="AP140" s="9"/>
      <c r="AQ140" s="9"/>
      <c r="AR140" s="9"/>
      <c r="AS140" s="9"/>
      <c r="AT140" s="9"/>
      <c r="AU140" s="9"/>
      <c r="AV140" s="9"/>
      <c r="AW140" s="9"/>
      <c r="AX140" s="9"/>
      <c r="AY140" s="9"/>
      <c r="AZ140" s="9"/>
      <c r="BA140" s="9"/>
      <c r="BB140" s="9"/>
      <c r="BC140" s="9"/>
      <c r="BD140" s="9"/>
      <c r="BE140" s="9"/>
      <c r="BF140" s="9"/>
      <c r="BG140" s="9"/>
      <c r="BH140" s="9"/>
      <c r="BI140" s="9"/>
      <c r="BJ140" s="9"/>
      <c r="BK140" s="9"/>
      <c r="BL140" s="9"/>
      <c r="BM140" s="9"/>
      <c r="BN140" s="9"/>
      <c r="BO140" s="9"/>
      <c r="BP140" s="9"/>
      <c r="BQ140" s="9"/>
      <c r="BR140" s="9"/>
      <c r="BS140" s="9"/>
      <c r="BT140" s="9"/>
      <c r="BU140" s="9"/>
      <c r="BV140" s="9"/>
      <c r="BW140" s="9"/>
      <c r="BX140" s="9"/>
      <c r="BY140" s="9"/>
      <c r="BZ140" s="9"/>
      <c r="CA140" s="9"/>
      <c r="CB140" s="9"/>
      <c r="CC140" s="9"/>
      <c r="CD140" s="9"/>
      <c r="CE140" s="9"/>
      <c r="CF140" s="9"/>
      <c r="CG140" s="9"/>
      <c r="CH140" s="9"/>
      <c r="CI140" s="9"/>
    </row>
    <row r="141" spans="1:87" x14ac:dyDescent="0.25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9"/>
      <c r="AL141" s="9"/>
      <c r="AM141" s="9"/>
      <c r="AN141" s="9"/>
      <c r="AO141" s="9"/>
      <c r="AP141" s="9"/>
      <c r="AQ141" s="9"/>
      <c r="AR141" s="9"/>
      <c r="AS141" s="9"/>
      <c r="AT141" s="9"/>
      <c r="AU141" s="9"/>
      <c r="AV141" s="9"/>
      <c r="AW141" s="9"/>
      <c r="AX141" s="9"/>
      <c r="AY141" s="9"/>
      <c r="AZ141" s="9"/>
      <c r="BA141" s="9"/>
      <c r="BB141" s="9"/>
      <c r="BC141" s="9"/>
      <c r="BD141" s="9"/>
      <c r="BE141" s="9"/>
      <c r="BF141" s="9"/>
      <c r="BG141" s="9"/>
      <c r="BH141" s="9"/>
      <c r="BI141" s="9"/>
      <c r="BJ141" s="9"/>
      <c r="BK141" s="9"/>
      <c r="BL141" s="9"/>
      <c r="BM141" s="9"/>
      <c r="BN141" s="9"/>
      <c r="BO141" s="9"/>
      <c r="BP141" s="9"/>
      <c r="BQ141" s="9"/>
      <c r="BR141" s="9"/>
      <c r="BS141" s="9"/>
      <c r="BT141" s="9"/>
      <c r="BU141" s="9"/>
      <c r="BV141" s="9"/>
      <c r="BW141" s="9"/>
      <c r="BX141" s="9"/>
      <c r="BY141" s="9"/>
      <c r="BZ141" s="9"/>
      <c r="CA141" s="9"/>
      <c r="CB141" s="9"/>
      <c r="CC141" s="9"/>
      <c r="CD141" s="9"/>
      <c r="CE141" s="9"/>
      <c r="CF141" s="9"/>
      <c r="CG141" s="9"/>
      <c r="CH141" s="9"/>
      <c r="CI141" s="9"/>
    </row>
    <row r="142" spans="1:87" x14ac:dyDescent="0.25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9"/>
      <c r="AL142" s="9"/>
      <c r="AM142" s="9"/>
      <c r="AN142" s="9"/>
      <c r="AO142" s="9"/>
      <c r="AP142" s="9"/>
      <c r="AQ142" s="9"/>
      <c r="AR142" s="9"/>
      <c r="AS142" s="9"/>
      <c r="AT142" s="9"/>
      <c r="AU142" s="9"/>
      <c r="AV142" s="9"/>
      <c r="AW142" s="9"/>
      <c r="AX142" s="9"/>
      <c r="AY142" s="9"/>
      <c r="AZ142" s="9"/>
      <c r="BA142" s="9"/>
      <c r="BB142" s="9"/>
      <c r="BC142" s="9"/>
      <c r="BD142" s="9"/>
      <c r="BE142" s="9"/>
      <c r="BF142" s="9"/>
      <c r="BG142" s="9"/>
      <c r="BH142" s="9"/>
      <c r="BI142" s="9"/>
      <c r="BJ142" s="9"/>
      <c r="BK142" s="9"/>
      <c r="BL142" s="9"/>
      <c r="BM142" s="9"/>
      <c r="BN142" s="9"/>
      <c r="BO142" s="9"/>
      <c r="BP142" s="9"/>
      <c r="BQ142" s="9"/>
      <c r="BR142" s="9"/>
      <c r="BS142" s="9"/>
      <c r="BT142" s="9"/>
      <c r="BU142" s="9"/>
      <c r="BV142" s="9"/>
      <c r="BW142" s="9"/>
      <c r="BX142" s="9"/>
      <c r="BY142" s="9"/>
      <c r="BZ142" s="9"/>
      <c r="CA142" s="9"/>
      <c r="CB142" s="9"/>
      <c r="CC142" s="9"/>
      <c r="CD142" s="9"/>
      <c r="CE142" s="9"/>
      <c r="CF142" s="9"/>
      <c r="CG142" s="9"/>
      <c r="CH142" s="9"/>
      <c r="CI142" s="9"/>
    </row>
    <row r="143" spans="1:87" x14ac:dyDescent="0.25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9"/>
      <c r="AL143" s="9"/>
      <c r="AM143" s="9"/>
      <c r="AN143" s="9"/>
      <c r="AO143" s="9"/>
      <c r="AP143" s="9"/>
      <c r="AQ143" s="9"/>
      <c r="AR143" s="9"/>
      <c r="AS143" s="9"/>
      <c r="AT143" s="9"/>
      <c r="AU143" s="9"/>
      <c r="AV143" s="9"/>
      <c r="AW143" s="9"/>
      <c r="AX143" s="9"/>
      <c r="AY143" s="9"/>
      <c r="AZ143" s="9"/>
      <c r="BA143" s="9"/>
      <c r="BB143" s="9"/>
      <c r="BC143" s="9"/>
      <c r="BD143" s="9"/>
      <c r="BE143" s="9"/>
      <c r="BF143" s="9"/>
      <c r="BG143" s="9"/>
      <c r="BH143" s="9"/>
      <c r="BI143" s="9"/>
      <c r="BJ143" s="9"/>
      <c r="BK143" s="9"/>
      <c r="BL143" s="9"/>
      <c r="BM143" s="9"/>
      <c r="BN143" s="9"/>
      <c r="BO143" s="9"/>
      <c r="BP143" s="9"/>
      <c r="BQ143" s="9"/>
      <c r="BR143" s="9"/>
      <c r="BS143" s="9"/>
      <c r="BT143" s="9"/>
      <c r="BU143" s="9"/>
      <c r="BV143" s="9"/>
      <c r="BW143" s="9"/>
      <c r="BX143" s="9"/>
      <c r="BY143" s="9"/>
      <c r="BZ143" s="9"/>
      <c r="CA143" s="9"/>
      <c r="CB143" s="9"/>
      <c r="CC143" s="9"/>
      <c r="CD143" s="9"/>
      <c r="CE143" s="9"/>
      <c r="CF143" s="9"/>
      <c r="CG143" s="9"/>
      <c r="CH143" s="9"/>
      <c r="CI143" s="9"/>
    </row>
    <row r="144" spans="1:87" x14ac:dyDescent="0.25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  <c r="AY144" s="9"/>
      <c r="AZ144" s="9"/>
      <c r="BA144" s="9"/>
      <c r="BB144" s="9"/>
      <c r="BC144" s="9"/>
      <c r="BD144" s="9"/>
      <c r="BE144" s="9"/>
      <c r="BF144" s="9"/>
      <c r="BG144" s="9"/>
      <c r="BH144" s="9"/>
      <c r="BI144" s="9"/>
      <c r="BJ144" s="9"/>
      <c r="BK144" s="9"/>
      <c r="BL144" s="9"/>
      <c r="BM144" s="9"/>
      <c r="BN144" s="9"/>
      <c r="BO144" s="9"/>
      <c r="BP144" s="9"/>
      <c r="BQ144" s="9"/>
      <c r="BR144" s="9"/>
      <c r="BS144" s="9"/>
      <c r="BT144" s="9"/>
      <c r="BU144" s="9"/>
      <c r="BV144" s="9"/>
      <c r="BW144" s="9"/>
      <c r="BX144" s="9"/>
      <c r="BY144" s="9"/>
      <c r="BZ144" s="9"/>
      <c r="CA144" s="9"/>
      <c r="CB144" s="9"/>
      <c r="CC144" s="9"/>
      <c r="CD144" s="9"/>
      <c r="CE144" s="9"/>
      <c r="CF144" s="9"/>
      <c r="CG144" s="9"/>
      <c r="CH144" s="9"/>
      <c r="CI144" s="9"/>
    </row>
    <row r="145" spans="1:87" x14ac:dyDescent="0.25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9"/>
      <c r="AL145" s="9"/>
      <c r="AM145" s="9"/>
      <c r="AN145" s="9"/>
      <c r="AO145" s="9"/>
      <c r="AP145" s="9"/>
      <c r="AQ145" s="9"/>
      <c r="AR145" s="9"/>
      <c r="AS145" s="9"/>
      <c r="AT145" s="9"/>
      <c r="AU145" s="9"/>
      <c r="AV145" s="9"/>
      <c r="AW145" s="9"/>
      <c r="AX145" s="9"/>
      <c r="AY145" s="9"/>
      <c r="AZ145" s="9"/>
      <c r="BA145" s="9"/>
      <c r="BB145" s="9"/>
      <c r="BC145" s="9"/>
      <c r="BD145" s="9"/>
      <c r="BE145" s="9"/>
      <c r="BF145" s="9"/>
      <c r="BG145" s="9"/>
      <c r="BH145" s="9"/>
      <c r="BI145" s="9"/>
      <c r="BJ145" s="9"/>
      <c r="BK145" s="9"/>
      <c r="BL145" s="9"/>
      <c r="BM145" s="9"/>
      <c r="BN145" s="9"/>
      <c r="BO145" s="9"/>
      <c r="BP145" s="9"/>
      <c r="BQ145" s="9"/>
      <c r="BR145" s="9"/>
      <c r="BS145" s="9"/>
      <c r="BT145" s="9"/>
      <c r="BU145" s="9"/>
      <c r="BV145" s="9"/>
      <c r="BW145" s="9"/>
      <c r="BX145" s="9"/>
      <c r="BY145" s="9"/>
      <c r="BZ145" s="9"/>
      <c r="CA145" s="9"/>
      <c r="CB145" s="9"/>
      <c r="CC145" s="9"/>
      <c r="CD145" s="9"/>
      <c r="CE145" s="9"/>
      <c r="CF145" s="9"/>
      <c r="CG145" s="9"/>
      <c r="CH145" s="9"/>
      <c r="CI145" s="9"/>
    </row>
    <row r="146" spans="1:87" x14ac:dyDescent="0.25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</row>
    <row r="147" spans="1:87" x14ac:dyDescent="0.25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</row>
    <row r="148" spans="1:87" x14ac:dyDescent="0.25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</row>
    <row r="149" spans="1:87" x14ac:dyDescent="0.25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</row>
    <row r="150" spans="1:87" x14ac:dyDescent="0.25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</row>
    <row r="151" spans="1:87" x14ac:dyDescent="0.25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</row>
    <row r="152" spans="1:87" x14ac:dyDescent="0.25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</row>
    <row r="153" spans="1:87" x14ac:dyDescent="0.25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</row>
    <row r="154" spans="1:87" x14ac:dyDescent="0.25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</row>
    <row r="155" spans="1:87" x14ac:dyDescent="0.25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</row>
    <row r="156" spans="1:87" x14ac:dyDescent="0.25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9"/>
      <c r="AL156" s="9"/>
      <c r="AM156" s="9"/>
      <c r="AN156" s="9"/>
      <c r="AO156" s="9"/>
      <c r="AP156" s="9"/>
      <c r="AQ156" s="9"/>
      <c r="AR156" s="9"/>
      <c r="AS156" s="9"/>
      <c r="AT156" s="9"/>
      <c r="AU156" s="9"/>
      <c r="AV156" s="9"/>
      <c r="AW156" s="9"/>
      <c r="AX156" s="9"/>
      <c r="AY156" s="9"/>
      <c r="AZ156" s="9"/>
      <c r="BA156" s="9"/>
      <c r="BB156" s="9"/>
      <c r="BC156" s="9"/>
      <c r="BD156" s="9"/>
      <c r="BE156" s="9"/>
      <c r="BF156" s="9"/>
      <c r="BG156" s="9"/>
      <c r="BH156" s="9"/>
      <c r="BI156" s="9"/>
      <c r="BJ156" s="9"/>
      <c r="BK156" s="9"/>
      <c r="BL156" s="9"/>
      <c r="BM156" s="9"/>
      <c r="BN156" s="9"/>
      <c r="BO156" s="9"/>
      <c r="BP156" s="9"/>
      <c r="BQ156" s="9"/>
      <c r="BR156" s="9"/>
      <c r="BS156" s="9"/>
      <c r="BT156" s="9"/>
      <c r="BU156" s="9"/>
      <c r="BV156" s="9"/>
      <c r="BW156" s="9"/>
      <c r="BX156" s="9"/>
      <c r="BY156" s="9"/>
      <c r="BZ156" s="9"/>
      <c r="CA156" s="9"/>
      <c r="CB156" s="9"/>
      <c r="CC156" s="9"/>
      <c r="CD156" s="9"/>
      <c r="CE156" s="9"/>
      <c r="CF156" s="9"/>
      <c r="CG156" s="9"/>
      <c r="CH156" s="9"/>
      <c r="CI156" s="9"/>
    </row>
    <row r="157" spans="1:87" x14ac:dyDescent="0.25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</row>
    <row r="158" spans="1:87" x14ac:dyDescent="0.25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</row>
    <row r="159" spans="1:87" x14ac:dyDescent="0.25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</row>
    <row r="160" spans="1:87" x14ac:dyDescent="0.25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</row>
    <row r="161" spans="1:87" x14ac:dyDescent="0.25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</row>
    <row r="162" spans="1:87" x14ac:dyDescent="0.25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</row>
    <row r="163" spans="1:87" x14ac:dyDescent="0.25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</row>
    <row r="164" spans="1:87" x14ac:dyDescent="0.25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</row>
    <row r="165" spans="1:87" x14ac:dyDescent="0.25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  <c r="AI165" s="9"/>
      <c r="AJ165" s="9"/>
      <c r="AK165" s="9"/>
      <c r="AL165" s="9"/>
      <c r="AM165" s="9"/>
      <c r="AN165" s="9"/>
      <c r="AO165" s="9"/>
      <c r="AP165" s="9"/>
      <c r="AQ165" s="9"/>
      <c r="AR165" s="9"/>
      <c r="AS165" s="9"/>
      <c r="AT165" s="9"/>
      <c r="AU165" s="9"/>
      <c r="AV165" s="9"/>
      <c r="AW165" s="9"/>
      <c r="AX165" s="9"/>
      <c r="AY165" s="9"/>
      <c r="AZ165" s="9"/>
      <c r="BA165" s="9"/>
      <c r="BB165" s="9"/>
      <c r="BC165" s="9"/>
      <c r="BD165" s="9"/>
      <c r="BE165" s="9"/>
      <c r="BF165" s="9"/>
      <c r="BG165" s="9"/>
      <c r="BH165" s="9"/>
      <c r="BI165" s="9"/>
      <c r="BJ165" s="9"/>
      <c r="BK165" s="9"/>
      <c r="BL165" s="9"/>
      <c r="BM165" s="9"/>
      <c r="BN165" s="9"/>
      <c r="BO165" s="9"/>
      <c r="BP165" s="9"/>
      <c r="BQ165" s="9"/>
      <c r="BR165" s="9"/>
      <c r="BS165" s="9"/>
      <c r="BT165" s="9"/>
      <c r="BU165" s="9"/>
      <c r="BV165" s="9"/>
      <c r="BW165" s="9"/>
      <c r="BX165" s="9"/>
      <c r="BY165" s="9"/>
      <c r="BZ165" s="9"/>
      <c r="CA165" s="9"/>
      <c r="CB165" s="9"/>
      <c r="CC165" s="9"/>
      <c r="CD165" s="9"/>
      <c r="CE165" s="9"/>
      <c r="CF165" s="9"/>
      <c r="CG165" s="9"/>
      <c r="CH165" s="9"/>
      <c r="CI165" s="9"/>
    </row>
    <row r="166" spans="1:87" x14ac:dyDescent="0.25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9"/>
      <c r="AL166" s="9"/>
      <c r="AM166" s="9"/>
      <c r="AN166" s="9"/>
      <c r="AO166" s="9"/>
      <c r="AP166" s="9"/>
      <c r="AQ166" s="9"/>
      <c r="AR166" s="9"/>
      <c r="AS166" s="9"/>
      <c r="AT166" s="9"/>
      <c r="AU166" s="9"/>
      <c r="AV166" s="9"/>
      <c r="AW166" s="9"/>
      <c r="AX166" s="9"/>
      <c r="AY166" s="9"/>
      <c r="AZ166" s="9"/>
      <c r="BA166" s="9"/>
      <c r="BB166" s="9"/>
      <c r="BC166" s="9"/>
      <c r="BD166" s="9"/>
      <c r="BE166" s="9"/>
      <c r="BF166" s="9"/>
      <c r="BG166" s="9"/>
      <c r="BH166" s="9"/>
      <c r="BI166" s="9"/>
      <c r="BJ166" s="9"/>
      <c r="BK166" s="9"/>
      <c r="BL166" s="9"/>
      <c r="BM166" s="9"/>
      <c r="BN166" s="9"/>
      <c r="BO166" s="9"/>
      <c r="BP166" s="9"/>
      <c r="BQ166" s="9"/>
      <c r="BR166" s="9"/>
      <c r="BS166" s="9"/>
      <c r="BT166" s="9"/>
      <c r="BU166" s="9"/>
      <c r="BV166" s="9"/>
      <c r="BW166" s="9"/>
      <c r="BX166" s="9"/>
      <c r="BY166" s="9"/>
      <c r="BZ166" s="9"/>
      <c r="CA166" s="9"/>
      <c r="CB166" s="9"/>
      <c r="CC166" s="9"/>
      <c r="CD166" s="9"/>
      <c r="CE166" s="9"/>
      <c r="CF166" s="9"/>
      <c r="CG166" s="9"/>
      <c r="CH166" s="9"/>
      <c r="CI166" s="9"/>
    </row>
    <row r="167" spans="1:87" x14ac:dyDescent="0.25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9"/>
      <c r="AL167" s="9"/>
      <c r="AM167" s="9"/>
      <c r="AN167" s="9"/>
      <c r="AO167" s="9"/>
      <c r="AP167" s="9"/>
      <c r="AQ167" s="9"/>
      <c r="AR167" s="9"/>
      <c r="AS167" s="9"/>
      <c r="AT167" s="9"/>
      <c r="AU167" s="9"/>
      <c r="AV167" s="9"/>
      <c r="AW167" s="9"/>
      <c r="AX167" s="9"/>
      <c r="AY167" s="9"/>
      <c r="AZ167" s="9"/>
      <c r="BA167" s="9"/>
      <c r="BB167" s="9"/>
      <c r="BC167" s="9"/>
      <c r="BD167" s="9"/>
      <c r="BE167" s="9"/>
      <c r="BF167" s="9"/>
      <c r="BG167" s="9"/>
      <c r="BH167" s="9"/>
      <c r="BI167" s="9"/>
      <c r="BJ167" s="9"/>
      <c r="BK167" s="9"/>
      <c r="BL167" s="9"/>
      <c r="BM167" s="9"/>
      <c r="BN167" s="9"/>
      <c r="BO167" s="9"/>
      <c r="BP167" s="9"/>
      <c r="BQ167" s="9"/>
      <c r="BR167" s="9"/>
      <c r="BS167" s="9"/>
      <c r="BT167" s="9"/>
      <c r="BU167" s="9"/>
      <c r="BV167" s="9"/>
      <c r="BW167" s="9"/>
      <c r="BX167" s="9"/>
      <c r="BY167" s="9"/>
      <c r="BZ167" s="9"/>
      <c r="CA167" s="9"/>
      <c r="CB167" s="9"/>
      <c r="CC167" s="9"/>
      <c r="CD167" s="9"/>
      <c r="CE167" s="9"/>
      <c r="CF167" s="9"/>
      <c r="CG167" s="9"/>
      <c r="CH167" s="9"/>
      <c r="CI167" s="9"/>
    </row>
    <row r="168" spans="1:87" x14ac:dyDescent="0.25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9"/>
      <c r="AL168" s="9"/>
      <c r="AM168" s="9"/>
      <c r="AN168" s="9"/>
      <c r="AO168" s="9"/>
      <c r="AP168" s="9"/>
      <c r="AQ168" s="9"/>
      <c r="AR168" s="9"/>
      <c r="AS168" s="9"/>
      <c r="AT168" s="9"/>
      <c r="AU168" s="9"/>
      <c r="AV168" s="9"/>
      <c r="AW168" s="9"/>
      <c r="AX168" s="9"/>
      <c r="AY168" s="9"/>
      <c r="AZ168" s="9"/>
      <c r="BA168" s="9"/>
      <c r="BB168" s="9"/>
      <c r="BC168" s="9"/>
      <c r="BD168" s="9"/>
      <c r="BE168" s="9"/>
      <c r="BF168" s="9"/>
      <c r="BG168" s="9"/>
      <c r="BH168" s="9"/>
      <c r="BI168" s="9"/>
      <c r="BJ168" s="9"/>
      <c r="BK168" s="9"/>
      <c r="BL168" s="9"/>
      <c r="BM168" s="9"/>
      <c r="BN168" s="9"/>
      <c r="BO168" s="9"/>
      <c r="BP168" s="9"/>
      <c r="BQ168" s="9"/>
      <c r="BR168" s="9"/>
      <c r="BS168" s="9"/>
      <c r="BT168" s="9"/>
      <c r="BU168" s="9"/>
      <c r="BV168" s="9"/>
      <c r="BW168" s="9"/>
      <c r="BX168" s="9"/>
      <c r="BY168" s="9"/>
      <c r="BZ168" s="9"/>
      <c r="CA168" s="9"/>
      <c r="CB168" s="9"/>
      <c r="CC168" s="9"/>
      <c r="CD168" s="9"/>
      <c r="CE168" s="9"/>
      <c r="CF168" s="9"/>
      <c r="CG168" s="9"/>
      <c r="CH168" s="9"/>
      <c r="CI168" s="9"/>
    </row>
    <row r="169" spans="1:87" x14ac:dyDescent="0.25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  <c r="BF169" s="9"/>
      <c r="BG169" s="9"/>
      <c r="BH169" s="9"/>
      <c r="BI169" s="9"/>
      <c r="BJ169" s="9"/>
      <c r="BK169" s="9"/>
      <c r="BL169" s="9"/>
      <c r="BM169" s="9"/>
      <c r="BN169" s="9"/>
      <c r="BO169" s="9"/>
      <c r="BP169" s="9"/>
      <c r="BQ169" s="9"/>
      <c r="BR169" s="9"/>
      <c r="BS169" s="9"/>
      <c r="BT169" s="9"/>
      <c r="BU169" s="9"/>
      <c r="BV169" s="9"/>
      <c r="BW169" s="9"/>
      <c r="BX169" s="9"/>
      <c r="BY169" s="9"/>
      <c r="BZ169" s="9"/>
      <c r="CA169" s="9"/>
      <c r="CB169" s="9"/>
      <c r="CC169" s="9"/>
      <c r="CD169" s="9"/>
      <c r="CE169" s="9"/>
      <c r="CF169" s="9"/>
      <c r="CG169" s="9"/>
      <c r="CH169" s="9"/>
      <c r="CI169" s="9"/>
    </row>
    <row r="170" spans="1:87" x14ac:dyDescent="0.25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9"/>
      <c r="AL170" s="9"/>
      <c r="AM170" s="9"/>
      <c r="AN170" s="9"/>
      <c r="AO170" s="9"/>
      <c r="AP170" s="9"/>
      <c r="AQ170" s="9"/>
      <c r="AR170" s="9"/>
      <c r="AS170" s="9"/>
      <c r="AT170" s="9"/>
      <c r="AU170" s="9"/>
      <c r="AV170" s="9"/>
      <c r="AW170" s="9"/>
      <c r="AX170" s="9"/>
      <c r="AY170" s="9"/>
      <c r="AZ170" s="9"/>
      <c r="BA170" s="9"/>
      <c r="BB170" s="9"/>
      <c r="BC170" s="9"/>
      <c r="BD170" s="9"/>
      <c r="BE170" s="9"/>
      <c r="BF170" s="9"/>
      <c r="BG170" s="9"/>
      <c r="BH170" s="9"/>
      <c r="BI170" s="9"/>
      <c r="BJ170" s="9"/>
      <c r="BK170" s="9"/>
      <c r="BL170" s="9"/>
      <c r="BM170" s="9"/>
      <c r="BN170" s="9"/>
      <c r="BO170" s="9"/>
      <c r="BP170" s="9"/>
      <c r="BQ170" s="9"/>
      <c r="BR170" s="9"/>
      <c r="BS170" s="9"/>
      <c r="BT170" s="9"/>
      <c r="BU170" s="9"/>
      <c r="BV170" s="9"/>
      <c r="BW170" s="9"/>
      <c r="BX170" s="9"/>
      <c r="BY170" s="9"/>
      <c r="BZ170" s="9"/>
      <c r="CA170" s="9"/>
      <c r="CB170" s="9"/>
      <c r="CC170" s="9"/>
      <c r="CD170" s="9"/>
      <c r="CE170" s="9"/>
      <c r="CF170" s="9"/>
      <c r="CG170" s="9"/>
      <c r="CH170" s="9"/>
      <c r="CI170" s="9"/>
    </row>
    <row r="171" spans="1:87" x14ac:dyDescent="0.25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</row>
    <row r="172" spans="1:87" x14ac:dyDescent="0.25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</row>
    <row r="173" spans="1:87" x14ac:dyDescent="0.25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</row>
    <row r="174" spans="1:87" x14ac:dyDescent="0.25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</row>
    <row r="175" spans="1:87" x14ac:dyDescent="0.25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</row>
    <row r="176" spans="1:87" x14ac:dyDescent="0.25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</row>
    <row r="177" spans="1:87" x14ac:dyDescent="0.25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9"/>
      <c r="AL177" s="9"/>
      <c r="AM177" s="9"/>
      <c r="AN177" s="9"/>
      <c r="AO177" s="9"/>
      <c r="AP177" s="9"/>
      <c r="AQ177" s="9"/>
      <c r="AR177" s="9"/>
      <c r="AS177" s="9"/>
      <c r="AT177" s="9"/>
      <c r="AU177" s="9"/>
      <c r="AV177" s="9"/>
      <c r="AW177" s="9"/>
      <c r="AX177" s="9"/>
      <c r="AY177" s="9"/>
      <c r="AZ177" s="9"/>
      <c r="BA177" s="9"/>
      <c r="BB177" s="9"/>
      <c r="BC177" s="9"/>
      <c r="BD177" s="9"/>
      <c r="BE177" s="9"/>
      <c r="BF177" s="9"/>
      <c r="BG177" s="9"/>
      <c r="BH177" s="9"/>
      <c r="BI177" s="9"/>
      <c r="BJ177" s="9"/>
      <c r="BK177" s="9"/>
      <c r="BL177" s="9"/>
      <c r="BM177" s="9"/>
      <c r="BN177" s="9"/>
      <c r="BO177" s="9"/>
      <c r="BP177" s="9"/>
      <c r="BQ177" s="9"/>
      <c r="BR177" s="9"/>
      <c r="BS177" s="9"/>
      <c r="BT177" s="9"/>
      <c r="BU177" s="9"/>
      <c r="BV177" s="9"/>
      <c r="BW177" s="9"/>
      <c r="BX177" s="9"/>
      <c r="BY177" s="9"/>
      <c r="BZ177" s="9"/>
      <c r="CA177" s="9"/>
      <c r="CB177" s="9"/>
      <c r="CC177" s="9"/>
      <c r="CD177" s="9"/>
      <c r="CE177" s="9"/>
      <c r="CF177" s="9"/>
      <c r="CG177" s="9"/>
      <c r="CH177" s="9"/>
      <c r="CI177" s="9"/>
    </row>
    <row r="178" spans="1:87" x14ac:dyDescent="0.25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9"/>
      <c r="AL178" s="9"/>
      <c r="AM178" s="9"/>
      <c r="AN178" s="9"/>
      <c r="AO178" s="9"/>
      <c r="AP178" s="9"/>
      <c r="AQ178" s="9"/>
      <c r="AR178" s="9"/>
      <c r="AS178" s="9"/>
      <c r="AT178" s="9"/>
      <c r="AU178" s="9"/>
      <c r="AV178" s="9"/>
      <c r="AW178" s="9"/>
      <c r="AX178" s="9"/>
      <c r="AY178" s="9"/>
      <c r="AZ178" s="9"/>
      <c r="BA178" s="9"/>
      <c r="BB178" s="9"/>
      <c r="BC178" s="9"/>
      <c r="BD178" s="9"/>
      <c r="BE178" s="9"/>
      <c r="BF178" s="9"/>
      <c r="BG178" s="9"/>
      <c r="BH178" s="9"/>
      <c r="BI178" s="9"/>
      <c r="BJ178" s="9"/>
      <c r="BK178" s="9"/>
      <c r="BL178" s="9"/>
      <c r="BM178" s="9"/>
      <c r="BN178" s="9"/>
      <c r="BO178" s="9"/>
      <c r="BP178" s="9"/>
      <c r="BQ178" s="9"/>
      <c r="BR178" s="9"/>
      <c r="BS178" s="9"/>
      <c r="BT178" s="9"/>
      <c r="BU178" s="9"/>
      <c r="BV178" s="9"/>
      <c r="BW178" s="9"/>
      <c r="BX178" s="9"/>
      <c r="BY178" s="9"/>
      <c r="BZ178" s="9"/>
      <c r="CA178" s="9"/>
      <c r="CB178" s="9"/>
      <c r="CC178" s="9"/>
      <c r="CD178" s="9"/>
      <c r="CE178" s="9"/>
      <c r="CF178" s="9"/>
      <c r="CG178" s="9"/>
      <c r="CH178" s="9"/>
      <c r="CI178" s="9"/>
    </row>
    <row r="179" spans="1:87" x14ac:dyDescent="0.25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9"/>
      <c r="AL179" s="9"/>
      <c r="AM179" s="9"/>
      <c r="AN179" s="9"/>
      <c r="AO179" s="9"/>
      <c r="AP179" s="9"/>
      <c r="AQ179" s="9"/>
      <c r="AR179" s="9"/>
      <c r="AS179" s="9"/>
      <c r="AT179" s="9"/>
      <c r="AU179" s="9"/>
      <c r="AV179" s="9"/>
      <c r="AW179" s="9"/>
      <c r="AX179" s="9"/>
      <c r="AY179" s="9"/>
      <c r="AZ179" s="9"/>
      <c r="BA179" s="9"/>
      <c r="BB179" s="9"/>
      <c r="BC179" s="9"/>
      <c r="BD179" s="9"/>
      <c r="BE179" s="9"/>
      <c r="BF179" s="9"/>
      <c r="BG179" s="9"/>
      <c r="BH179" s="9"/>
      <c r="BI179" s="9"/>
      <c r="BJ179" s="9"/>
      <c r="BK179" s="9"/>
      <c r="BL179" s="9"/>
      <c r="BM179" s="9"/>
      <c r="BN179" s="9"/>
      <c r="BO179" s="9"/>
      <c r="BP179" s="9"/>
      <c r="BQ179" s="9"/>
      <c r="BR179" s="9"/>
      <c r="BS179" s="9"/>
      <c r="BT179" s="9"/>
      <c r="BU179" s="9"/>
      <c r="BV179" s="9"/>
      <c r="BW179" s="9"/>
      <c r="BX179" s="9"/>
      <c r="BY179" s="9"/>
      <c r="BZ179" s="9"/>
      <c r="CA179" s="9"/>
      <c r="CB179" s="9"/>
      <c r="CC179" s="9"/>
      <c r="CD179" s="9"/>
      <c r="CE179" s="9"/>
      <c r="CF179" s="9"/>
      <c r="CG179" s="9"/>
      <c r="CH179" s="9"/>
      <c r="CI179" s="9"/>
    </row>
    <row r="180" spans="1:87" x14ac:dyDescent="0.25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9"/>
      <c r="AL180" s="9"/>
      <c r="AM180" s="9"/>
      <c r="AN180" s="9"/>
      <c r="AO180" s="9"/>
      <c r="AP180" s="9"/>
      <c r="AQ180" s="9"/>
      <c r="AR180" s="9"/>
      <c r="AS180" s="9"/>
      <c r="AT180" s="9"/>
      <c r="AU180" s="9"/>
      <c r="AV180" s="9"/>
      <c r="AW180" s="9"/>
      <c r="AX180" s="9"/>
      <c r="AY180" s="9"/>
      <c r="AZ180" s="9"/>
      <c r="BA180" s="9"/>
      <c r="BB180" s="9"/>
      <c r="BC180" s="9"/>
      <c r="BD180" s="9"/>
      <c r="BE180" s="9"/>
      <c r="BF180" s="9"/>
      <c r="BG180" s="9"/>
      <c r="BH180" s="9"/>
      <c r="BI180" s="9"/>
      <c r="BJ180" s="9"/>
      <c r="BK180" s="9"/>
      <c r="BL180" s="9"/>
      <c r="BM180" s="9"/>
      <c r="BN180" s="9"/>
      <c r="BO180" s="9"/>
      <c r="BP180" s="9"/>
      <c r="BQ180" s="9"/>
      <c r="BR180" s="9"/>
      <c r="BS180" s="9"/>
      <c r="BT180" s="9"/>
      <c r="BU180" s="9"/>
      <c r="BV180" s="9"/>
      <c r="BW180" s="9"/>
      <c r="BX180" s="9"/>
      <c r="BY180" s="9"/>
      <c r="BZ180" s="9"/>
      <c r="CA180" s="9"/>
      <c r="CB180" s="9"/>
      <c r="CC180" s="9"/>
      <c r="CD180" s="9"/>
      <c r="CE180" s="9"/>
      <c r="CF180" s="9"/>
      <c r="CG180" s="9"/>
      <c r="CH180" s="9"/>
      <c r="CI180" s="9"/>
    </row>
    <row r="181" spans="1:87" x14ac:dyDescent="0.25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9"/>
      <c r="AL181" s="9"/>
      <c r="AM181" s="9"/>
      <c r="AN181" s="9"/>
      <c r="AO181" s="9"/>
      <c r="AP181" s="9"/>
      <c r="AQ181" s="9"/>
      <c r="AR181" s="9"/>
      <c r="AS181" s="9"/>
      <c r="AT181" s="9"/>
      <c r="AU181" s="9"/>
      <c r="AV181" s="9"/>
      <c r="AW181" s="9"/>
      <c r="AX181" s="9"/>
      <c r="AY181" s="9"/>
      <c r="AZ181" s="9"/>
      <c r="BA181" s="9"/>
      <c r="BB181" s="9"/>
      <c r="BC181" s="9"/>
      <c r="BD181" s="9"/>
      <c r="BE181" s="9"/>
      <c r="BF181" s="9"/>
      <c r="BG181" s="9"/>
      <c r="BH181" s="9"/>
      <c r="BI181" s="9"/>
      <c r="BJ181" s="9"/>
      <c r="BK181" s="9"/>
      <c r="BL181" s="9"/>
      <c r="BM181" s="9"/>
      <c r="BN181" s="9"/>
      <c r="BO181" s="9"/>
      <c r="BP181" s="9"/>
      <c r="BQ181" s="9"/>
      <c r="BR181" s="9"/>
      <c r="BS181" s="9"/>
      <c r="BT181" s="9"/>
      <c r="BU181" s="9"/>
      <c r="BV181" s="9"/>
      <c r="BW181" s="9"/>
      <c r="BX181" s="9"/>
      <c r="BY181" s="9"/>
      <c r="BZ181" s="9"/>
      <c r="CA181" s="9"/>
      <c r="CB181" s="9"/>
      <c r="CC181" s="9"/>
      <c r="CD181" s="9"/>
      <c r="CE181" s="9"/>
      <c r="CF181" s="9"/>
      <c r="CG181" s="9"/>
      <c r="CH181" s="9"/>
      <c r="CI181" s="9"/>
    </row>
    <row r="182" spans="1:87" x14ac:dyDescent="0.25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</row>
    <row r="183" spans="1:87" x14ac:dyDescent="0.25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</row>
    <row r="184" spans="1:87" x14ac:dyDescent="0.25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</row>
    <row r="185" spans="1:87" x14ac:dyDescent="0.25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</row>
    <row r="186" spans="1:87" x14ac:dyDescent="0.25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</row>
    <row r="187" spans="1:87" x14ac:dyDescent="0.25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</row>
    <row r="188" spans="1:87" x14ac:dyDescent="0.25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</row>
    <row r="189" spans="1:87" x14ac:dyDescent="0.25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</row>
    <row r="190" spans="1:87" x14ac:dyDescent="0.25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</row>
    <row r="191" spans="1:87" x14ac:dyDescent="0.25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</row>
    <row r="192" spans="1:87" x14ac:dyDescent="0.25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</row>
    <row r="193" spans="1:87" x14ac:dyDescent="0.25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</row>
    <row r="194" spans="1:87" x14ac:dyDescent="0.25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</row>
    <row r="195" spans="1:87" x14ac:dyDescent="0.25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</row>
    <row r="196" spans="1:87" x14ac:dyDescent="0.25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</row>
    <row r="197" spans="1:87" x14ac:dyDescent="0.25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</row>
    <row r="198" spans="1:87" x14ac:dyDescent="0.25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</row>
    <row r="199" spans="1:87" x14ac:dyDescent="0.25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</row>
    <row r="200" spans="1:87" x14ac:dyDescent="0.25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</row>
    <row r="201" spans="1:87" x14ac:dyDescent="0.25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</row>
    <row r="202" spans="1:87" x14ac:dyDescent="0.25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</row>
    <row r="203" spans="1:87" x14ac:dyDescent="0.25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</row>
    <row r="204" spans="1:87" x14ac:dyDescent="0.25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</row>
    <row r="205" spans="1:87" x14ac:dyDescent="0.25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</row>
    <row r="206" spans="1:87" x14ac:dyDescent="0.25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</row>
    <row r="207" spans="1:87" x14ac:dyDescent="0.25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</row>
    <row r="208" spans="1:87" x14ac:dyDescent="0.25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</row>
    <row r="209" spans="1:87" x14ac:dyDescent="0.25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</row>
    <row r="210" spans="1:87" x14ac:dyDescent="0.25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</row>
    <row r="211" spans="1:87" x14ac:dyDescent="0.25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</row>
    <row r="212" spans="1:87" x14ac:dyDescent="0.25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</row>
    <row r="213" spans="1:87" x14ac:dyDescent="0.25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</row>
    <row r="214" spans="1:87" x14ac:dyDescent="0.25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</row>
    <row r="215" spans="1:87" x14ac:dyDescent="0.25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</row>
    <row r="216" spans="1:87" x14ac:dyDescent="0.25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</row>
    <row r="217" spans="1:87" x14ac:dyDescent="0.25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</row>
    <row r="218" spans="1:87" x14ac:dyDescent="0.25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</row>
    <row r="219" spans="1:87" x14ac:dyDescent="0.25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</row>
    <row r="220" spans="1:87" x14ac:dyDescent="0.25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</row>
    <row r="221" spans="1:87" x14ac:dyDescent="0.25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</row>
    <row r="222" spans="1:87" x14ac:dyDescent="0.25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</row>
    <row r="223" spans="1:87" x14ac:dyDescent="0.25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</row>
    <row r="224" spans="1:87" x14ac:dyDescent="0.25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</row>
    <row r="225" spans="1:87" x14ac:dyDescent="0.25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</row>
    <row r="226" spans="1:87" x14ac:dyDescent="0.25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</row>
    <row r="227" spans="1:87" x14ac:dyDescent="0.25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</row>
    <row r="228" spans="1:87" x14ac:dyDescent="0.25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</row>
    <row r="229" spans="1:87" x14ac:dyDescent="0.25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</row>
    <row r="230" spans="1:87" x14ac:dyDescent="0.25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</row>
    <row r="231" spans="1:87" x14ac:dyDescent="0.25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</row>
    <row r="232" spans="1:87" x14ac:dyDescent="0.25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</row>
    <row r="233" spans="1:87" x14ac:dyDescent="0.25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</row>
    <row r="234" spans="1:87" x14ac:dyDescent="0.25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</row>
    <row r="235" spans="1:87" x14ac:dyDescent="0.25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</row>
    <row r="236" spans="1:87" x14ac:dyDescent="0.25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</row>
    <row r="237" spans="1:87" x14ac:dyDescent="0.25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</row>
    <row r="238" spans="1:87" x14ac:dyDescent="0.25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</row>
    <row r="239" spans="1:87" x14ac:dyDescent="0.25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</row>
    <row r="240" spans="1:87" x14ac:dyDescent="0.25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</row>
    <row r="241" spans="1:87" x14ac:dyDescent="0.25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</row>
    <row r="242" spans="1:87" x14ac:dyDescent="0.25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</row>
    <row r="243" spans="1:87" x14ac:dyDescent="0.25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</row>
    <row r="244" spans="1:87" x14ac:dyDescent="0.25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</row>
    <row r="245" spans="1:87" x14ac:dyDescent="0.25">
      <c r="A245" s="9"/>
      <c r="B245" s="9"/>
      <c r="C245" s="9"/>
      <c r="D245" s="9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</row>
    <row r="246" spans="1:87" x14ac:dyDescent="0.25">
      <c r="A246" s="9"/>
      <c r="B246" s="9"/>
      <c r="C246" s="9"/>
      <c r="D246" s="9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</row>
    <row r="247" spans="1:87" x14ac:dyDescent="0.25">
      <c r="A247" s="9"/>
      <c r="B247" s="9"/>
      <c r="C247" s="9"/>
      <c r="D247" s="9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</row>
    <row r="248" spans="1:87" x14ac:dyDescent="0.25">
      <c r="A248" s="9"/>
      <c r="B248" s="9"/>
      <c r="C248" s="9"/>
      <c r="D248" s="9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</row>
  </sheetData>
  <phoneticPr fontId="0" type="noConversion"/>
  <hyperlinks>
    <hyperlink ref="E28" r:id="rId1"/>
  </hyperlinks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54"/>
  <sheetViews>
    <sheetView topLeftCell="A2" zoomScale="110" zoomScaleNormal="110" workbookViewId="0">
      <pane ySplit="16140" topLeftCell="A37"/>
      <selection activeCell="E37" sqref="E37"/>
      <selection pane="bottomLeft" activeCell="A29" sqref="A29"/>
    </sheetView>
  </sheetViews>
  <sheetFormatPr defaultRowHeight="13.2" x14ac:dyDescent="0.25"/>
  <cols>
    <col min="1" max="1" width="7.5546875" customWidth="1"/>
    <col min="3" max="3" width="12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.33203125" customWidth="1"/>
    <col min="19" max="19" width="9.44140625" bestFit="1" customWidth="1"/>
    <col min="20" max="20" width="14.109375" customWidth="1"/>
    <col min="21" max="33" width="9.44140625" bestFit="1" customWidth="1"/>
  </cols>
  <sheetData>
    <row r="1" spans="1:26" ht="18.75" customHeight="1" x14ac:dyDescent="0.3">
      <c r="A1" s="97" t="s">
        <v>36</v>
      </c>
      <c r="B1" s="98" t="s">
        <v>37</v>
      </c>
      <c r="C1" s="4"/>
      <c r="D1" s="72"/>
      <c r="E1" s="73"/>
      <c r="F1" s="93"/>
      <c r="G1" s="94"/>
      <c r="I1" s="9"/>
      <c r="J1" s="9"/>
      <c r="K1" s="9"/>
      <c r="L1" s="9"/>
      <c r="M1" s="9"/>
      <c r="N1" s="9"/>
      <c r="Q1" s="9"/>
      <c r="R1" s="9"/>
      <c r="S1" s="9"/>
    </row>
    <row r="2" spans="1:26" ht="18" thickBot="1" x14ac:dyDescent="0.35">
      <c r="A2" s="4"/>
      <c r="B2" s="92" t="s">
        <v>21</v>
      </c>
      <c r="C2" s="91"/>
      <c r="D2" s="122" t="s">
        <v>41</v>
      </c>
      <c r="E2" s="25"/>
      <c r="F2" s="25"/>
      <c r="G2" s="25"/>
      <c r="H2" s="59"/>
      <c r="I2" s="99" t="s">
        <v>40</v>
      </c>
      <c r="J2" s="60"/>
      <c r="K2" s="9"/>
      <c r="L2" s="9"/>
      <c r="M2" s="9"/>
      <c r="N2" s="9"/>
      <c r="O2" s="9"/>
      <c r="P2" s="9"/>
      <c r="Q2" s="9"/>
      <c r="R2" s="9"/>
      <c r="S2" s="9"/>
    </row>
    <row r="3" spans="1:26" ht="15.6" thickBot="1" x14ac:dyDescent="0.3">
      <c r="A3" s="87">
        <v>2</v>
      </c>
      <c r="B3" s="89" t="s">
        <v>27</v>
      </c>
      <c r="C3" s="88"/>
      <c r="D3" s="32"/>
      <c r="E3" s="23"/>
      <c r="F3" s="19" t="s">
        <v>20</v>
      </c>
      <c r="G3" s="23"/>
      <c r="H3" s="23"/>
      <c r="I3" s="100"/>
      <c r="J3" s="75">
        <v>1.0505014948077294</v>
      </c>
      <c r="K3" s="124"/>
      <c r="L3" s="125"/>
      <c r="M3" s="126"/>
      <c r="N3" s="126"/>
      <c r="O3" s="127"/>
      <c r="P3" s="127"/>
      <c r="Q3" s="9"/>
      <c r="R3" s="9"/>
      <c r="S3" s="9"/>
    </row>
    <row r="4" spans="1:26" x14ac:dyDescent="0.25">
      <c r="A4" s="2"/>
      <c r="B4" s="2"/>
      <c r="C4" s="2"/>
      <c r="D4" s="33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7" t="s">
        <v>35</v>
      </c>
      <c r="J4" s="85"/>
      <c r="K4" s="139" t="s">
        <v>85</v>
      </c>
      <c r="L4" s="128"/>
      <c r="M4" s="128"/>
      <c r="N4" s="128"/>
      <c r="O4" s="128"/>
      <c r="P4" s="129"/>
      <c r="Q4" s="128"/>
      <c r="R4" s="7"/>
      <c r="S4" s="63"/>
      <c r="T4" s="13"/>
      <c r="U4" s="13"/>
      <c r="V4" s="1"/>
      <c r="W4" s="1"/>
      <c r="X4" s="1"/>
    </row>
    <row r="5" spans="1:26" x14ac:dyDescent="0.25">
      <c r="A5" s="2" t="s">
        <v>0</v>
      </c>
      <c r="B5" s="35" t="s">
        <v>3</v>
      </c>
      <c r="C5" s="16" t="s">
        <v>7</v>
      </c>
      <c r="D5" s="39" t="s">
        <v>2</v>
      </c>
      <c r="E5" s="37" t="s">
        <v>30</v>
      </c>
      <c r="F5" s="37" t="s">
        <v>30</v>
      </c>
      <c r="G5" s="38" t="s">
        <v>17</v>
      </c>
      <c r="H5" s="16" t="s">
        <v>34</v>
      </c>
      <c r="I5" s="118" t="s">
        <v>38</v>
      </c>
      <c r="J5" s="49" t="s">
        <v>39</v>
      </c>
      <c r="K5" s="74">
        <f t="shared" ref="K5:P5" si="0">IF(COLUMN(K5)&lt;=nt+10,COLUMN(K5)-10,IF(J5=nt,"     ",""))</f>
        <v>1</v>
      </c>
      <c r="L5" s="28">
        <f t="shared" si="0"/>
        <v>2</v>
      </c>
      <c r="M5" s="28" t="str">
        <f t="shared" si="0"/>
        <v xml:space="preserve">     </v>
      </c>
      <c r="N5" s="28" t="str">
        <f t="shared" si="0"/>
        <v/>
      </c>
      <c r="O5" s="28" t="str">
        <f t="shared" si="0"/>
        <v/>
      </c>
      <c r="P5" s="28" t="str">
        <f t="shared" si="0"/>
        <v/>
      </c>
      <c r="Q5" s="128"/>
      <c r="R5" s="7"/>
      <c r="S5" s="9"/>
      <c r="T5" s="13"/>
      <c r="U5" s="13"/>
      <c r="V5" s="1"/>
      <c r="W5" s="1"/>
      <c r="X5" s="1"/>
    </row>
    <row r="6" spans="1:26" x14ac:dyDescent="0.25">
      <c r="A6" s="3">
        <f t="shared" ref="A6:A11" si="1">IF(ROW(A6)&lt;=nt+5,ROW(A6)-5,IF(A5=nt,"     ",""))</f>
        <v>1</v>
      </c>
      <c r="B6" s="137" t="s">
        <v>87</v>
      </c>
      <c r="C6" s="137" t="s">
        <v>7</v>
      </c>
      <c r="D6" s="34">
        <v>1</v>
      </c>
      <c r="E6" s="5">
        <v>0.25</v>
      </c>
      <c r="F6" s="5">
        <v>0.5</v>
      </c>
      <c r="G6" s="5">
        <v>0</v>
      </c>
      <c r="H6" s="5">
        <v>1</v>
      </c>
      <c r="I6" s="47">
        <f t="shared" ref="I6:I11" si="2">IF($A6&lt;=nt,SQRT(E6)*D6," ")</f>
        <v>0.5</v>
      </c>
      <c r="J6" s="101">
        <f t="shared" ref="J6:J11" si="3">IF($A6&lt;=nt,H6*I6," ")</f>
        <v>0.5</v>
      </c>
      <c r="K6" s="134">
        <v>5.9372154260405582E-2</v>
      </c>
      <c r="L6" s="134">
        <v>0.11141802079990504</v>
      </c>
      <c r="M6" s="134" t="s">
        <v>44</v>
      </c>
      <c r="N6" s="134" t="s">
        <v>44</v>
      </c>
      <c r="O6" s="134" t="s">
        <v>44</v>
      </c>
      <c r="P6" s="101" t="s">
        <v>44</v>
      </c>
      <c r="Q6" s="130"/>
      <c r="R6" s="7"/>
      <c r="S6" s="8"/>
      <c r="T6" s="13"/>
      <c r="U6" s="12"/>
      <c r="V6" s="14"/>
      <c r="W6" s="1"/>
      <c r="X6" s="1"/>
    </row>
    <row r="7" spans="1:26" x14ac:dyDescent="0.25">
      <c r="A7" s="3">
        <f t="shared" si="1"/>
        <v>2</v>
      </c>
      <c r="B7" s="137" t="s">
        <v>88</v>
      </c>
      <c r="C7" s="137" t="s">
        <v>7</v>
      </c>
      <c r="D7" s="34">
        <v>1</v>
      </c>
      <c r="E7" s="5">
        <v>0.5</v>
      </c>
      <c r="F7" s="5">
        <v>0.5</v>
      </c>
      <c r="G7" s="5">
        <v>0</v>
      </c>
      <c r="H7" s="5">
        <v>1</v>
      </c>
      <c r="I7" s="47">
        <f>IF($A7&lt;=nt,SQRT(E7)*D7," ")</f>
        <v>0.70710678118654757</v>
      </c>
      <c r="J7" s="101">
        <f t="shared" si="3"/>
        <v>0.70710678118654757</v>
      </c>
      <c r="K7" s="134">
        <v>0.83333531865963328</v>
      </c>
      <c r="L7" s="134">
        <v>0.3010845667306925</v>
      </c>
      <c r="M7" s="134" t="s">
        <v>44</v>
      </c>
      <c r="N7" s="134" t="s">
        <v>44</v>
      </c>
      <c r="O7" s="134" t="s">
        <v>44</v>
      </c>
      <c r="P7" s="101" t="s">
        <v>44</v>
      </c>
      <c r="Q7" s="130"/>
      <c r="R7" s="7"/>
      <c r="S7" s="8"/>
      <c r="T7" s="13"/>
      <c r="U7" s="12"/>
      <c r="V7" s="14"/>
      <c r="W7" s="1"/>
      <c r="X7" s="1"/>
    </row>
    <row r="8" spans="1:26" x14ac:dyDescent="0.25">
      <c r="A8" s="3" t="str">
        <f t="shared" si="1"/>
        <v xml:space="preserve">     </v>
      </c>
      <c r="B8" s="5"/>
      <c r="C8" s="5"/>
      <c r="D8" s="34"/>
      <c r="E8" s="5"/>
      <c r="F8" s="5"/>
      <c r="G8" s="5"/>
      <c r="H8" s="5"/>
      <c r="I8" s="47" t="str">
        <f t="shared" si="2"/>
        <v xml:space="preserve"> </v>
      </c>
      <c r="J8" s="101" t="str">
        <f t="shared" si="3"/>
        <v xml:space="preserve"> </v>
      </c>
      <c r="K8" s="134" t="s">
        <v>44</v>
      </c>
      <c r="L8" s="134" t="s">
        <v>44</v>
      </c>
      <c r="M8" s="134" t="s">
        <v>44</v>
      </c>
      <c r="N8" s="134" t="s">
        <v>44</v>
      </c>
      <c r="O8" s="134" t="s">
        <v>44</v>
      </c>
      <c r="P8" s="101" t="s">
        <v>44</v>
      </c>
      <c r="Q8" s="130"/>
      <c r="R8" s="7"/>
      <c r="S8" s="8"/>
      <c r="T8" s="13"/>
      <c r="U8" s="12"/>
      <c r="V8" s="14"/>
      <c r="W8" s="1"/>
      <c r="X8" s="1"/>
    </row>
    <row r="9" spans="1:26" x14ac:dyDescent="0.25">
      <c r="A9" s="3" t="str">
        <f t="shared" si="1"/>
        <v/>
      </c>
      <c r="B9" s="5"/>
      <c r="C9" s="5"/>
      <c r="D9" s="34"/>
      <c r="E9" s="5"/>
      <c r="F9" s="5"/>
      <c r="G9" s="5"/>
      <c r="H9" s="5"/>
      <c r="I9" s="47" t="str">
        <f t="shared" si="2"/>
        <v xml:space="preserve"> </v>
      </c>
      <c r="J9" s="101" t="str">
        <f t="shared" si="3"/>
        <v xml:space="preserve"> </v>
      </c>
      <c r="K9" s="134" t="s">
        <v>44</v>
      </c>
      <c r="L9" s="134" t="s">
        <v>44</v>
      </c>
      <c r="M9" s="134" t="s">
        <v>44</v>
      </c>
      <c r="N9" s="134" t="s">
        <v>44</v>
      </c>
      <c r="O9" s="134" t="s">
        <v>44</v>
      </c>
      <c r="P9" s="101" t="s">
        <v>44</v>
      </c>
      <c r="Q9" s="130"/>
      <c r="R9" s="7"/>
      <c r="S9" s="8"/>
      <c r="T9" s="13"/>
      <c r="U9" s="12"/>
      <c r="V9" s="14"/>
      <c r="W9" s="1"/>
      <c r="X9" s="1"/>
    </row>
    <row r="10" spans="1:26" x14ac:dyDescent="0.25">
      <c r="A10" s="3" t="str">
        <f t="shared" si="1"/>
        <v/>
      </c>
      <c r="B10" s="5"/>
      <c r="C10" s="5"/>
      <c r="D10" s="34"/>
      <c r="E10" s="5"/>
      <c r="F10" s="5"/>
      <c r="G10" s="5"/>
      <c r="H10" s="5"/>
      <c r="I10" s="47" t="str">
        <f t="shared" si="2"/>
        <v xml:space="preserve"> </v>
      </c>
      <c r="J10" s="101" t="str">
        <f t="shared" si="3"/>
        <v xml:space="preserve"> </v>
      </c>
      <c r="K10" s="134" t="s">
        <v>44</v>
      </c>
      <c r="L10" s="134" t="s">
        <v>44</v>
      </c>
      <c r="M10" s="134" t="s">
        <v>44</v>
      </c>
      <c r="N10" s="134" t="s">
        <v>44</v>
      </c>
      <c r="O10" s="134" t="s">
        <v>44</v>
      </c>
      <c r="P10" s="101" t="s">
        <v>44</v>
      </c>
      <c r="Q10" s="130"/>
      <c r="R10" s="7"/>
      <c r="S10" s="8"/>
      <c r="T10" s="13"/>
      <c r="U10" s="12"/>
      <c r="V10" s="14"/>
      <c r="W10" s="1"/>
      <c r="X10" s="1"/>
      <c r="Z10" t="str">
        <f>IF(COLUMN(Z10)&lt;=nt+3,COLUMN(Z10)-3,IF(Y10=nt,"Correlation structure",""))</f>
        <v/>
      </c>
    </row>
    <row r="11" spans="1:26" x14ac:dyDescent="0.25">
      <c r="A11" s="16" t="str">
        <f t="shared" si="1"/>
        <v/>
      </c>
      <c r="B11" s="36"/>
      <c r="C11" s="5"/>
      <c r="D11" s="34"/>
      <c r="E11" s="5"/>
      <c r="F11" s="5"/>
      <c r="G11" s="5"/>
      <c r="H11" s="5"/>
      <c r="I11" s="47" t="str">
        <f t="shared" si="2"/>
        <v xml:space="preserve"> </v>
      </c>
      <c r="J11" s="101" t="str">
        <f t="shared" si="3"/>
        <v xml:space="preserve"> </v>
      </c>
      <c r="K11" s="132" t="s">
        <v>44</v>
      </c>
      <c r="L11" s="132" t="s">
        <v>44</v>
      </c>
      <c r="M11" s="132" t="s">
        <v>44</v>
      </c>
      <c r="N11" s="132" t="s">
        <v>44</v>
      </c>
      <c r="O11" s="132" t="s">
        <v>44</v>
      </c>
      <c r="P11" s="133" t="s">
        <v>44</v>
      </c>
      <c r="Q11" s="128"/>
      <c r="R11" s="7"/>
      <c r="S11" s="9"/>
      <c r="T11" s="13"/>
      <c r="U11" s="12"/>
      <c r="V11" s="14"/>
      <c r="W11" s="1"/>
      <c r="X11" s="1"/>
    </row>
    <row r="12" spans="1:26" x14ac:dyDescent="0.25">
      <c r="A12" s="1"/>
      <c r="B12" s="7"/>
      <c r="C12" s="30"/>
      <c r="D12" s="31" t="s">
        <v>25</v>
      </c>
      <c r="E12" s="30"/>
      <c r="F12" s="30"/>
      <c r="G12" s="30"/>
      <c r="H12" s="42"/>
      <c r="I12" s="41"/>
      <c r="J12" s="66" t="s">
        <v>26</v>
      </c>
      <c r="K12" s="40"/>
      <c r="L12" s="23"/>
      <c r="M12" s="23"/>
      <c r="N12" s="76"/>
      <c r="O12" s="62"/>
      <c r="P12" s="7"/>
      <c r="Q12" s="7"/>
      <c r="R12" s="7"/>
      <c r="S12" s="9"/>
      <c r="T12" s="13"/>
      <c r="U12" s="12"/>
      <c r="V12" s="14"/>
      <c r="W12" s="1"/>
      <c r="X12" s="1"/>
    </row>
    <row r="13" spans="1:26" x14ac:dyDescent="0.25">
      <c r="A13" s="21" t="s">
        <v>1</v>
      </c>
      <c r="B13" s="22"/>
      <c r="C13" s="20">
        <f t="shared" ref="C13:H13" si="4">IF(COLUMN(C13)&lt;=nt+2,COLUMN(C13)-2,IF(B13=nt,"Phenotypic",""))</f>
        <v>1</v>
      </c>
      <c r="D13" s="20">
        <f t="shared" si="4"/>
        <v>2</v>
      </c>
      <c r="E13" s="20" t="str">
        <f t="shared" si="4"/>
        <v>Phenotypic</v>
      </c>
      <c r="F13" s="20" t="str">
        <f t="shared" si="4"/>
        <v/>
      </c>
      <c r="G13" s="20" t="str">
        <f t="shared" si="4"/>
        <v/>
      </c>
      <c r="H13" s="43" t="str">
        <f t="shared" si="4"/>
        <v/>
      </c>
      <c r="I13" s="86" t="s">
        <v>11</v>
      </c>
      <c r="J13" s="16" t="s">
        <v>13</v>
      </c>
      <c r="K13" s="16" t="s">
        <v>12</v>
      </c>
      <c r="L13" s="16" t="s">
        <v>14</v>
      </c>
      <c r="M13" s="16" t="s">
        <v>15</v>
      </c>
      <c r="N13" s="77" t="s">
        <v>16</v>
      </c>
      <c r="O13" s="7"/>
      <c r="P13" s="7"/>
      <c r="Q13" s="7"/>
      <c r="R13" s="7"/>
      <c r="S13" s="9"/>
      <c r="T13" s="13"/>
      <c r="U13" s="12"/>
      <c r="V13" s="14"/>
      <c r="W13" s="1"/>
      <c r="X13" s="1"/>
    </row>
    <row r="14" spans="1:26" x14ac:dyDescent="0.25">
      <c r="A14" s="3" t="str">
        <f>IF(ROW(A14)&lt;=nt+22,$B6,IF(A13=nt," Genetic Correlation   ",""))</f>
        <v>Trait 1</v>
      </c>
      <c r="B14" s="20">
        <f t="shared" ref="B14:B20" si="5">IF(ROW(B14)&lt;=nt+13,ROW(B14)-13,IF(B13=nt," Genetic   ",""))</f>
        <v>1</v>
      </c>
      <c r="C14" s="4">
        <v>1</v>
      </c>
      <c r="D14" s="4">
        <v>0.1</v>
      </c>
      <c r="E14" s="4"/>
      <c r="F14" s="4"/>
      <c r="G14" s="4"/>
      <c r="H14" s="4"/>
      <c r="I14" s="5">
        <v>0</v>
      </c>
      <c r="J14" s="5">
        <v>1</v>
      </c>
      <c r="K14" s="5">
        <v>1</v>
      </c>
      <c r="L14" s="5">
        <v>0</v>
      </c>
      <c r="M14" s="5">
        <v>0</v>
      </c>
      <c r="N14" s="78">
        <v>0</v>
      </c>
      <c r="O14" s="62"/>
      <c r="P14" s="7"/>
      <c r="Q14" s="7"/>
      <c r="R14" s="7"/>
      <c r="S14" s="9"/>
      <c r="T14" s="13"/>
      <c r="U14" s="12"/>
      <c r="V14" s="14"/>
      <c r="W14" s="1"/>
      <c r="X14" s="1"/>
    </row>
    <row r="15" spans="1:26" x14ac:dyDescent="0.25">
      <c r="A15" s="3" t="str">
        <f>IF(ROW(A15)&lt;=nt+22,$B7,IF(A14=nt," Genetic Correlation   ",""))</f>
        <v>Trait 2</v>
      </c>
      <c r="B15" s="20">
        <f t="shared" si="5"/>
        <v>2</v>
      </c>
      <c r="C15" s="4">
        <v>0.5</v>
      </c>
      <c r="D15" s="4">
        <v>1</v>
      </c>
      <c r="E15" s="4"/>
      <c r="F15" s="4"/>
      <c r="G15" s="4"/>
      <c r="H15" s="4"/>
      <c r="I15" s="5">
        <v>1</v>
      </c>
      <c r="J15" s="5">
        <v>1</v>
      </c>
      <c r="K15" s="5">
        <v>1</v>
      </c>
      <c r="L15" s="5">
        <v>0</v>
      </c>
      <c r="M15" s="5">
        <v>25</v>
      </c>
      <c r="N15" s="5">
        <v>0</v>
      </c>
      <c r="O15" s="7"/>
      <c r="P15" s="7"/>
      <c r="Q15" s="7"/>
      <c r="R15" s="7"/>
      <c r="S15" s="9"/>
      <c r="T15" s="13"/>
      <c r="U15" s="12"/>
      <c r="V15" s="14"/>
      <c r="W15" s="1"/>
      <c r="X15" s="1"/>
    </row>
    <row r="16" spans="1:26" x14ac:dyDescent="0.25">
      <c r="A16" s="3" t="str">
        <f>IF(ROW(A16)&lt;=nt+5,ROW(A16)-5,IF(A15=nt,"     ",""))</f>
        <v/>
      </c>
      <c r="B16" s="142" t="str">
        <f t="shared" si="5"/>
        <v xml:space="preserve"> Genetic   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40"/>
      <c r="O16" s="7"/>
      <c r="P16" s="7"/>
      <c r="Q16" s="7"/>
      <c r="R16" s="7"/>
      <c r="S16" s="9"/>
      <c r="T16" s="13"/>
      <c r="U16" s="12"/>
      <c r="V16" s="14"/>
      <c r="W16" s="1"/>
      <c r="X16" s="1"/>
    </row>
    <row r="17" spans="1:24" x14ac:dyDescent="0.25">
      <c r="A17" s="3" t="str">
        <f>IF(ROW(A17)&lt;=nt+5,ROW(A17)-5,IF(A16=nt,"     ",""))</f>
        <v/>
      </c>
      <c r="B17" s="20" t="str">
        <f t="shared" si="5"/>
        <v/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140"/>
      <c r="O17" s="7"/>
      <c r="P17" s="7"/>
      <c r="Q17" s="7"/>
      <c r="R17" s="7"/>
      <c r="S17" s="9"/>
      <c r="T17" s="13"/>
      <c r="U17" s="12"/>
      <c r="V17" s="14"/>
      <c r="W17" s="1"/>
      <c r="X17" s="1"/>
    </row>
    <row r="18" spans="1:24" x14ac:dyDescent="0.25">
      <c r="A18" s="3" t="str">
        <f>IF(ROW(A18)&lt;=nt+5,ROW(A18)-5,IF(A17=nt,"     ",""))</f>
        <v/>
      </c>
      <c r="B18" s="44" t="str">
        <f t="shared" si="5"/>
        <v/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140"/>
      <c r="O18" s="62"/>
      <c r="P18" s="7"/>
      <c r="Q18" s="7"/>
      <c r="R18" s="7"/>
      <c r="S18" s="9"/>
      <c r="T18" s="13"/>
      <c r="U18" s="12"/>
      <c r="V18" s="14"/>
      <c r="W18" s="1"/>
      <c r="X18" s="1"/>
    </row>
    <row r="19" spans="1:24" ht="12" customHeight="1" x14ac:dyDescent="0.25">
      <c r="A19" s="3" t="str">
        <f>IF(ROW(A19)&lt;=nt+5,ROW(A19)-5,IF(A18=nt,"     ",""))</f>
        <v/>
      </c>
      <c r="B19" s="45" t="str">
        <f t="shared" si="5"/>
        <v/>
      </c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141"/>
      <c r="O19" s="62"/>
      <c r="P19" s="7"/>
      <c r="Q19" s="7"/>
      <c r="R19" s="7"/>
      <c r="S19" s="9"/>
      <c r="T19" s="13"/>
      <c r="U19" s="12"/>
      <c r="V19" s="14"/>
      <c r="W19" s="1"/>
      <c r="X19" s="1"/>
    </row>
    <row r="20" spans="1:24" ht="15" customHeight="1" x14ac:dyDescent="0.25">
      <c r="A20" s="58"/>
      <c r="B20" s="116" t="str">
        <f t="shared" si="5"/>
        <v/>
      </c>
      <c r="C20" s="119" t="s">
        <v>41</v>
      </c>
      <c r="D20" s="119" t="s">
        <v>41</v>
      </c>
      <c r="E20" s="119" t="s">
        <v>41</v>
      </c>
      <c r="F20" s="58"/>
      <c r="G20" s="58"/>
      <c r="H20" s="58"/>
      <c r="I20" s="58"/>
      <c r="J20" s="58"/>
      <c r="K20" s="58"/>
      <c r="L20" s="58"/>
      <c r="M20" s="58"/>
      <c r="N20" s="58"/>
      <c r="O20" s="62"/>
      <c r="P20" s="7"/>
      <c r="Q20" s="7"/>
      <c r="R20" s="7"/>
      <c r="S20" s="9"/>
      <c r="T20" s="13"/>
      <c r="U20" s="12"/>
      <c r="V20" s="14"/>
      <c r="W20" s="1"/>
      <c r="X20" s="1"/>
    </row>
    <row r="21" spans="1:24" x14ac:dyDescent="0.25">
      <c r="A21" s="90"/>
      <c r="B21" s="6"/>
      <c r="C21" s="90"/>
      <c r="D21" s="6"/>
      <c r="E21" s="6"/>
      <c r="F21" s="115" t="s">
        <v>10</v>
      </c>
      <c r="G21" s="114" t="s">
        <v>8</v>
      </c>
      <c r="H21" s="6"/>
      <c r="I21" s="6"/>
      <c r="J21" s="6"/>
      <c r="K21" s="6"/>
      <c r="L21" s="6"/>
      <c r="M21" s="6"/>
      <c r="N21" s="48"/>
      <c r="O21" s="62"/>
      <c r="P21" s="7"/>
      <c r="Q21" s="7"/>
      <c r="R21" s="7"/>
      <c r="S21" s="9"/>
      <c r="T21" s="13"/>
      <c r="U21" s="12"/>
      <c r="V21" s="14"/>
      <c r="W21" s="1"/>
      <c r="X21" s="1"/>
    </row>
    <row r="22" spans="1:24" ht="17.399999999999999" x14ac:dyDescent="0.3">
      <c r="A22" s="65" t="s">
        <v>28</v>
      </c>
      <c r="B22" s="64"/>
      <c r="C22" s="95" t="s">
        <v>44</v>
      </c>
      <c r="D22" s="6"/>
      <c r="E22" s="6"/>
      <c r="F22" s="67">
        <v>0.76373605557869806</v>
      </c>
      <c r="G22" s="123">
        <v>0.72702043676623496</v>
      </c>
      <c r="H22" s="6"/>
      <c r="I22" s="6"/>
      <c r="J22" s="6"/>
      <c r="K22" s="6"/>
      <c r="L22" s="6"/>
      <c r="M22" s="6"/>
      <c r="N22" s="61"/>
      <c r="O22" s="9"/>
      <c r="P22" s="9"/>
      <c r="Q22" s="9"/>
      <c r="R22" s="9"/>
      <c r="S22" s="9"/>
      <c r="T22" s="13"/>
      <c r="U22" s="12"/>
      <c r="V22" s="14"/>
      <c r="W22" s="1"/>
      <c r="X22" s="1"/>
    </row>
    <row r="23" spans="1:24" ht="15.6" x14ac:dyDescent="0.3">
      <c r="A23" s="11"/>
      <c r="B23" s="53" t="s">
        <v>9</v>
      </c>
      <c r="C23" s="96" t="s">
        <v>29</v>
      </c>
      <c r="D23" s="106"/>
      <c r="E23" s="110" t="s">
        <v>6</v>
      </c>
      <c r="F23" s="102"/>
      <c r="G23" s="107" t="s">
        <v>31</v>
      </c>
      <c r="H23" s="79"/>
      <c r="I23" s="68"/>
      <c r="J23" s="54"/>
      <c r="K23" s="55" t="s">
        <v>24</v>
      </c>
      <c r="L23" s="56"/>
      <c r="M23" s="54"/>
      <c r="N23" s="57"/>
      <c r="O23" s="9"/>
      <c r="P23" s="9"/>
      <c r="Q23" s="9"/>
      <c r="R23" s="9"/>
      <c r="S23" s="9"/>
    </row>
    <row r="24" spans="1:24" x14ac:dyDescent="0.25">
      <c r="A24" s="15"/>
      <c r="B24" s="15"/>
      <c r="C24" s="74" t="s">
        <v>2</v>
      </c>
      <c r="D24" s="86"/>
      <c r="E24" s="16"/>
      <c r="F24" s="112" t="s">
        <v>39</v>
      </c>
      <c r="G24" s="74" t="s">
        <v>22</v>
      </c>
      <c r="H24" s="49" t="s">
        <v>23</v>
      </c>
      <c r="I24" s="69" t="s">
        <v>11</v>
      </c>
      <c r="J24" s="26" t="s">
        <v>13</v>
      </c>
      <c r="K24" s="26" t="s">
        <v>12</v>
      </c>
      <c r="L24" s="26" t="s">
        <v>14</v>
      </c>
      <c r="M24" s="27" t="s">
        <v>15</v>
      </c>
      <c r="N24" s="50" t="s">
        <v>16</v>
      </c>
      <c r="O24" s="9"/>
      <c r="P24" s="9"/>
      <c r="Q24" s="9"/>
      <c r="R24" s="9"/>
      <c r="S24" s="9"/>
    </row>
    <row r="25" spans="1:24" x14ac:dyDescent="0.25">
      <c r="A25" s="29">
        <f t="shared" ref="A25:A30" si="6">A6</f>
        <v>1</v>
      </c>
      <c r="B25" s="82" t="str">
        <f t="shared" ref="B25:B30" si="7">IF(ROW(A6)&lt;=nt+5,B6,IF(A5=nt,"     ",""))</f>
        <v>Trait 1</v>
      </c>
      <c r="C25" s="47">
        <f t="shared" ref="C25:C30" si="8">IF($A6&lt;=nt,SQRT(E6)*D6," ")</f>
        <v>0.5</v>
      </c>
      <c r="D25" s="104">
        <v>0.22362460671167284</v>
      </c>
      <c r="E25" s="111" t="str">
        <f t="shared" ref="E25:E30" si="9">IF(ROW(A6)&lt;=nt+5,C6,IF(A5=nt,"     ",""))</f>
        <v>Units</v>
      </c>
      <c r="F25" s="103">
        <v>0.22362460671167284</v>
      </c>
      <c r="G25" s="108">
        <v>0.48732803843163214</v>
      </c>
      <c r="H25" s="80">
        <v>0.35355339059327379</v>
      </c>
      <c r="I25" s="70" t="s">
        <v>19</v>
      </c>
      <c r="J25" s="17">
        <v>0.14752092408933415</v>
      </c>
      <c r="K25" s="17">
        <v>0.11859626642127025</v>
      </c>
      <c r="L25" s="17" t="s">
        <v>19</v>
      </c>
      <c r="M25" s="113" t="s">
        <v>19</v>
      </c>
      <c r="N25" s="51" t="s">
        <v>19</v>
      </c>
      <c r="O25" s="9"/>
      <c r="P25" s="9"/>
      <c r="Q25" s="7"/>
      <c r="R25" s="9"/>
      <c r="S25" s="9"/>
    </row>
    <row r="26" spans="1:24" x14ac:dyDescent="0.25">
      <c r="A26" s="29">
        <f t="shared" si="6"/>
        <v>2</v>
      </c>
      <c r="B26" s="83" t="str">
        <f t="shared" si="7"/>
        <v>Trait 2</v>
      </c>
      <c r="C26" s="47">
        <f t="shared" si="8"/>
        <v>0.70710678118654757</v>
      </c>
      <c r="D26" s="104">
        <v>0.54011144886702522</v>
      </c>
      <c r="E26" s="111" t="str">
        <f t="shared" si="9"/>
        <v>Units</v>
      </c>
      <c r="F26" s="104">
        <v>0.54011144886702522</v>
      </c>
      <c r="G26" s="108">
        <v>0.77599557567126953</v>
      </c>
      <c r="H26" s="80">
        <v>0.77385293727043047</v>
      </c>
      <c r="I26" s="70">
        <v>0.52854821553207909</v>
      </c>
      <c r="J26" s="17">
        <v>0.19149920135636536</v>
      </c>
      <c r="K26" s="17">
        <v>8.1455251544657326E-2</v>
      </c>
      <c r="L26" s="17" t="s">
        <v>19</v>
      </c>
      <c r="M26" s="113">
        <v>0.45174566231405727</v>
      </c>
      <c r="N26" s="51" t="s">
        <v>19</v>
      </c>
      <c r="O26" s="9"/>
      <c r="P26" s="9"/>
      <c r="Q26" s="9"/>
      <c r="R26" s="9"/>
      <c r="S26" s="9"/>
    </row>
    <row r="27" spans="1:24" x14ac:dyDescent="0.25">
      <c r="A27" s="29" t="str">
        <f t="shared" si="6"/>
        <v xml:space="preserve">     </v>
      </c>
      <c r="B27" s="83" t="str">
        <f t="shared" si="7"/>
        <v xml:space="preserve">     </v>
      </c>
      <c r="C27" s="47" t="str">
        <f t="shared" si="8"/>
        <v xml:space="preserve"> </v>
      </c>
      <c r="D27" s="104" t="s">
        <v>44</v>
      </c>
      <c r="E27" s="111" t="str">
        <f t="shared" si="9"/>
        <v xml:space="preserve">     </v>
      </c>
      <c r="F27" s="104" t="s">
        <v>44</v>
      </c>
      <c r="G27" s="108" t="s">
        <v>44</v>
      </c>
      <c r="H27" s="80" t="s">
        <v>44</v>
      </c>
      <c r="I27" s="70" t="s">
        <v>44</v>
      </c>
      <c r="J27" s="17" t="s">
        <v>44</v>
      </c>
      <c r="K27" s="17" t="s">
        <v>44</v>
      </c>
      <c r="L27" s="17" t="s">
        <v>44</v>
      </c>
      <c r="M27" s="17" t="s">
        <v>44</v>
      </c>
      <c r="N27" s="51" t="s">
        <v>44</v>
      </c>
      <c r="O27" s="9"/>
      <c r="P27" s="9"/>
      <c r="Q27" s="9"/>
      <c r="R27" s="9"/>
      <c r="S27" s="9"/>
    </row>
    <row r="28" spans="1:24" x14ac:dyDescent="0.25">
      <c r="A28" s="29" t="str">
        <f t="shared" si="6"/>
        <v/>
      </c>
      <c r="B28" s="83" t="str">
        <f t="shared" si="7"/>
        <v/>
      </c>
      <c r="C28" s="47" t="str">
        <f t="shared" si="8"/>
        <v xml:space="preserve"> </v>
      </c>
      <c r="D28" s="104" t="s">
        <v>44</v>
      </c>
      <c r="E28" s="111" t="str">
        <f t="shared" si="9"/>
        <v/>
      </c>
      <c r="F28" s="104" t="s">
        <v>44</v>
      </c>
      <c r="G28" s="108" t="s">
        <v>44</v>
      </c>
      <c r="H28" s="80" t="s">
        <v>44</v>
      </c>
      <c r="I28" s="70" t="s">
        <v>44</v>
      </c>
      <c r="J28" s="17" t="s">
        <v>44</v>
      </c>
      <c r="K28" s="17" t="s">
        <v>44</v>
      </c>
      <c r="L28" s="17" t="s">
        <v>44</v>
      </c>
      <c r="M28" s="17" t="s">
        <v>44</v>
      </c>
      <c r="N28" s="51" t="s">
        <v>44</v>
      </c>
      <c r="O28" s="9"/>
      <c r="P28" s="9"/>
      <c r="Q28" s="9"/>
      <c r="R28" s="9"/>
      <c r="S28" s="9"/>
    </row>
    <row r="29" spans="1:24" x14ac:dyDescent="0.25">
      <c r="A29" s="29" t="str">
        <f t="shared" si="6"/>
        <v/>
      </c>
      <c r="B29" s="83" t="str">
        <f t="shared" si="7"/>
        <v/>
      </c>
      <c r="C29" s="47" t="str">
        <f t="shared" si="8"/>
        <v xml:space="preserve"> </v>
      </c>
      <c r="D29" s="104" t="s">
        <v>44</v>
      </c>
      <c r="E29" s="111" t="str">
        <f t="shared" si="9"/>
        <v/>
      </c>
      <c r="F29" s="104" t="s">
        <v>44</v>
      </c>
      <c r="G29" s="108" t="s">
        <v>44</v>
      </c>
      <c r="H29" s="80" t="s">
        <v>44</v>
      </c>
      <c r="I29" s="70" t="s">
        <v>44</v>
      </c>
      <c r="J29" s="17" t="s">
        <v>44</v>
      </c>
      <c r="K29" s="17" t="s">
        <v>44</v>
      </c>
      <c r="L29" s="17" t="s">
        <v>44</v>
      </c>
      <c r="M29" s="17" t="s">
        <v>44</v>
      </c>
      <c r="N29" s="51" t="s">
        <v>44</v>
      </c>
      <c r="O29" s="9"/>
      <c r="P29" s="9"/>
      <c r="Q29" s="9"/>
      <c r="R29" s="9"/>
      <c r="S29" s="9"/>
    </row>
    <row r="30" spans="1:24" x14ac:dyDescent="0.25">
      <c r="A30" s="28" t="str">
        <f t="shared" si="6"/>
        <v/>
      </c>
      <c r="B30" s="84" t="str">
        <f t="shared" si="7"/>
        <v/>
      </c>
      <c r="C30" s="120" t="str">
        <f t="shared" si="8"/>
        <v xml:space="preserve"> </v>
      </c>
      <c r="D30" s="105" t="s">
        <v>44</v>
      </c>
      <c r="E30" s="121" t="str">
        <f t="shared" si="9"/>
        <v/>
      </c>
      <c r="F30" s="105" t="s">
        <v>44</v>
      </c>
      <c r="G30" s="109" t="s">
        <v>44</v>
      </c>
      <c r="H30" s="81" t="s">
        <v>44</v>
      </c>
      <c r="I30" s="71" t="s">
        <v>44</v>
      </c>
      <c r="J30" s="27" t="s">
        <v>44</v>
      </c>
      <c r="K30" s="27" t="s">
        <v>44</v>
      </c>
      <c r="L30" s="27" t="s">
        <v>44</v>
      </c>
      <c r="M30" s="27" t="s">
        <v>44</v>
      </c>
      <c r="N30" s="52" t="s">
        <v>44</v>
      </c>
      <c r="O30" s="9"/>
      <c r="P30" s="9"/>
      <c r="Q30" s="9"/>
      <c r="R30" s="9"/>
      <c r="S30" s="9"/>
    </row>
    <row r="31" spans="1:24" x14ac:dyDescent="0.25">
      <c r="A31" s="9"/>
      <c r="B31" s="24"/>
      <c r="C31" s="9"/>
      <c r="D31" s="9"/>
      <c r="E31" s="9"/>
      <c r="F31" s="9"/>
      <c r="G31" s="10"/>
      <c r="H31" s="10"/>
      <c r="I31" s="10"/>
      <c r="J31" s="10"/>
      <c r="K31" s="10"/>
      <c r="L31" s="10"/>
      <c r="M31" s="10"/>
      <c r="N31" s="10"/>
      <c r="O31" s="9"/>
      <c r="P31" s="9"/>
      <c r="Q31" s="9"/>
      <c r="R31" s="9"/>
      <c r="S31" s="9"/>
    </row>
    <row r="32" spans="1:24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</row>
    <row r="33" spans="1:1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</row>
    <row r="34" spans="1:1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</row>
    <row r="35" spans="1:19" x14ac:dyDescent="0.25">
      <c r="A35" s="9"/>
      <c r="B35" s="9"/>
      <c r="C35" s="9" t="s">
        <v>42</v>
      </c>
      <c r="D35" s="9"/>
      <c r="E35" s="9"/>
      <c r="F35" s="9"/>
      <c r="G35" s="9"/>
      <c r="H35" s="9"/>
      <c r="I35" s="9" t="s">
        <v>47</v>
      </c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1:19" x14ac:dyDescent="0.25">
      <c r="A36" s="9"/>
      <c r="B36" s="8">
        <v>0.25</v>
      </c>
      <c r="C36" s="8">
        <v>0.17677669529663689</v>
      </c>
      <c r="D36" s="9"/>
      <c r="E36" s="9"/>
      <c r="F36" s="9"/>
      <c r="G36" s="9"/>
      <c r="H36" s="9"/>
      <c r="I36" s="9" t="s">
        <v>45</v>
      </c>
      <c r="J36" s="9" t="s">
        <v>45</v>
      </c>
      <c r="K36" s="9" t="s">
        <v>45</v>
      </c>
      <c r="L36" s="9" t="s">
        <v>45</v>
      </c>
      <c r="M36" s="9" t="s">
        <v>45</v>
      </c>
      <c r="N36" s="8" t="s">
        <v>45</v>
      </c>
      <c r="O36" s="8"/>
      <c r="P36" s="9"/>
      <c r="Q36" s="9"/>
      <c r="R36" s="9"/>
      <c r="S36" s="9"/>
    </row>
    <row r="37" spans="1:19" x14ac:dyDescent="0.25">
      <c r="A37" s="9"/>
      <c r="B37" s="8">
        <v>0.5</v>
      </c>
      <c r="C37" s="8">
        <v>0.50000000000000011</v>
      </c>
      <c r="D37" s="9"/>
      <c r="E37" s="9"/>
      <c r="F37" s="9"/>
      <c r="G37" s="9"/>
      <c r="H37" s="9"/>
      <c r="I37" s="9" t="s">
        <v>45</v>
      </c>
      <c r="J37" s="9" t="s">
        <v>45</v>
      </c>
      <c r="K37" s="9" t="s">
        <v>45</v>
      </c>
      <c r="L37" s="9" t="s">
        <v>45</v>
      </c>
      <c r="M37" s="9" t="s">
        <v>45</v>
      </c>
      <c r="N37" s="8" t="s">
        <v>45</v>
      </c>
      <c r="O37" s="8"/>
      <c r="P37" s="9"/>
      <c r="Q37" s="9"/>
      <c r="R37" s="9"/>
      <c r="S37" s="9"/>
    </row>
    <row r="38" spans="1:19" x14ac:dyDescent="0.25">
      <c r="A38" s="9"/>
      <c r="B38" s="9"/>
      <c r="C38" s="9"/>
      <c r="D38" s="9"/>
      <c r="E38" s="9"/>
      <c r="F38" s="9"/>
      <c r="G38" s="9"/>
      <c r="H38" s="9"/>
      <c r="I38" s="9" t="s">
        <v>45</v>
      </c>
      <c r="J38" s="9" t="s">
        <v>45</v>
      </c>
      <c r="K38" s="9" t="s">
        <v>45</v>
      </c>
      <c r="L38" s="9" t="s">
        <v>45</v>
      </c>
      <c r="M38" s="9" t="s">
        <v>45</v>
      </c>
      <c r="N38" s="8" t="s">
        <v>45</v>
      </c>
      <c r="O38" s="8"/>
      <c r="P38" s="9"/>
      <c r="Q38" s="9"/>
      <c r="R38" s="9"/>
      <c r="S38" s="9"/>
    </row>
    <row r="39" spans="1:19" x14ac:dyDescent="0.25">
      <c r="A39" s="9"/>
      <c r="B39" s="9"/>
      <c r="C39" s="9"/>
      <c r="D39" s="9"/>
      <c r="E39" s="9"/>
      <c r="F39" s="9"/>
      <c r="G39" s="9"/>
      <c r="H39" s="9"/>
      <c r="I39" s="9" t="s">
        <v>45</v>
      </c>
      <c r="J39" s="9" t="s">
        <v>45</v>
      </c>
      <c r="K39" s="9" t="s">
        <v>45</v>
      </c>
      <c r="L39" s="9" t="s">
        <v>45</v>
      </c>
      <c r="M39" s="9" t="s">
        <v>45</v>
      </c>
      <c r="N39" s="8" t="s">
        <v>45</v>
      </c>
      <c r="O39" s="8"/>
      <c r="P39" s="9"/>
      <c r="Q39" s="9"/>
      <c r="R39" s="9"/>
      <c r="S39" s="9"/>
    </row>
    <row r="40" spans="1:19" x14ac:dyDescent="0.25">
      <c r="A40" s="9"/>
      <c r="B40" s="9"/>
      <c r="C40" s="9"/>
      <c r="D40" s="9"/>
      <c r="E40" s="9"/>
      <c r="F40" s="9"/>
      <c r="G40" s="9"/>
      <c r="H40" s="9"/>
      <c r="I40" s="9" t="s">
        <v>45</v>
      </c>
      <c r="J40" s="9" t="s">
        <v>45</v>
      </c>
      <c r="K40" s="9" t="s">
        <v>45</v>
      </c>
      <c r="L40" s="9" t="s">
        <v>45</v>
      </c>
      <c r="M40" s="9" t="s">
        <v>45</v>
      </c>
      <c r="N40" s="8" t="s">
        <v>45</v>
      </c>
      <c r="O40" s="8"/>
      <c r="P40" s="9"/>
      <c r="Q40" s="9"/>
      <c r="R40" s="9"/>
      <c r="S40" s="9"/>
    </row>
    <row r="41" spans="1:19" x14ac:dyDescent="0.25">
      <c r="A41" s="9"/>
      <c r="B41" s="9"/>
      <c r="C41" s="9"/>
      <c r="D41" s="9"/>
      <c r="E41" s="9"/>
      <c r="F41" s="9"/>
      <c r="G41" s="9"/>
      <c r="H41" s="9"/>
      <c r="I41" s="9" t="s">
        <v>45</v>
      </c>
      <c r="J41" s="9" t="s">
        <v>45</v>
      </c>
      <c r="K41" s="9" t="s">
        <v>45</v>
      </c>
      <c r="L41" s="9" t="s">
        <v>45</v>
      </c>
      <c r="M41" s="9" t="s">
        <v>45</v>
      </c>
      <c r="N41" s="8" t="s">
        <v>45</v>
      </c>
      <c r="O41" s="8"/>
      <c r="P41" s="9"/>
      <c r="Q41" s="9"/>
      <c r="R41" s="9"/>
      <c r="S41" s="9"/>
    </row>
    <row r="42" spans="1:1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19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19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19" x14ac:dyDescent="0.25">
      <c r="A45" s="9"/>
      <c r="B45" s="9"/>
      <c r="C45" s="9" t="s">
        <v>43</v>
      </c>
      <c r="D45" s="9"/>
      <c r="E45" s="9"/>
      <c r="F45" s="9"/>
      <c r="G45" s="9"/>
      <c r="H45" s="9"/>
      <c r="I45" s="9" t="s">
        <v>46</v>
      </c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19" x14ac:dyDescent="0.25">
      <c r="A46" s="9"/>
      <c r="B46" s="8">
        <v>0.75</v>
      </c>
      <c r="C46" s="8">
        <v>-7.6776695296636888E-2</v>
      </c>
      <c r="D46" s="9"/>
      <c r="E46" s="9"/>
      <c r="F46" s="9"/>
      <c r="G46" s="9"/>
      <c r="H46" s="9"/>
      <c r="I46" s="9" t="s">
        <v>41</v>
      </c>
      <c r="J46" s="9" t="s">
        <v>41</v>
      </c>
      <c r="K46" s="9" t="s">
        <v>41</v>
      </c>
      <c r="L46" s="9" t="s">
        <v>41</v>
      </c>
      <c r="M46" s="9" t="s">
        <v>41</v>
      </c>
      <c r="N46" s="8" t="s">
        <v>41</v>
      </c>
      <c r="O46" s="8"/>
      <c r="P46" s="9"/>
      <c r="Q46" s="9"/>
      <c r="R46" s="9"/>
      <c r="S46" s="9"/>
    </row>
    <row r="47" spans="1:19" x14ac:dyDescent="0.25">
      <c r="A47" s="9"/>
      <c r="B47" s="8">
        <v>-0.1253758184092677</v>
      </c>
      <c r="C47" s="8">
        <v>0.49999999999999989</v>
      </c>
      <c r="D47" s="9"/>
      <c r="E47" s="9"/>
      <c r="F47" s="9"/>
      <c r="G47" s="9"/>
      <c r="H47" s="9"/>
      <c r="I47" s="9" t="s">
        <v>41</v>
      </c>
      <c r="J47" s="9" t="s">
        <v>41</v>
      </c>
      <c r="K47" s="9" t="s">
        <v>41</v>
      </c>
      <c r="L47" s="9" t="s">
        <v>41</v>
      </c>
      <c r="M47" s="9" t="s">
        <v>41</v>
      </c>
      <c r="N47" s="8" t="s">
        <v>41</v>
      </c>
      <c r="O47" s="8"/>
      <c r="P47" s="9"/>
      <c r="Q47" s="9"/>
      <c r="R47" s="9"/>
      <c r="S47" s="9"/>
    </row>
    <row r="48" spans="1:19" x14ac:dyDescent="0.25">
      <c r="A48" s="9"/>
      <c r="B48" s="9"/>
      <c r="C48" s="9"/>
      <c r="D48" s="9"/>
      <c r="E48" s="9"/>
      <c r="F48" s="9"/>
      <c r="G48" s="9"/>
      <c r="H48" s="9"/>
      <c r="I48" s="9" t="s">
        <v>41</v>
      </c>
      <c r="J48" s="9" t="s">
        <v>41</v>
      </c>
      <c r="K48" s="9" t="s">
        <v>41</v>
      </c>
      <c r="L48" s="9" t="s">
        <v>41</v>
      </c>
      <c r="M48" s="9" t="s">
        <v>41</v>
      </c>
      <c r="N48" s="8" t="s">
        <v>41</v>
      </c>
      <c r="O48" s="8"/>
      <c r="P48" s="9"/>
      <c r="Q48" s="9"/>
      <c r="R48" s="9"/>
      <c r="S48" s="9"/>
    </row>
    <row r="49" spans="1:19" x14ac:dyDescent="0.25">
      <c r="A49" s="9"/>
      <c r="B49" s="9"/>
      <c r="C49" s="9"/>
      <c r="D49" s="9"/>
      <c r="E49" s="9"/>
      <c r="F49" s="9"/>
      <c r="G49" s="9"/>
      <c r="H49" s="9"/>
      <c r="I49" s="9" t="s">
        <v>41</v>
      </c>
      <c r="J49" s="9" t="s">
        <v>41</v>
      </c>
      <c r="K49" s="9" t="s">
        <v>41</v>
      </c>
      <c r="L49" s="9" t="s">
        <v>41</v>
      </c>
      <c r="M49" s="9" t="s">
        <v>41</v>
      </c>
      <c r="N49" s="8" t="s">
        <v>41</v>
      </c>
      <c r="O49" s="8"/>
      <c r="P49" s="9"/>
      <c r="Q49" s="9"/>
      <c r="R49" s="9"/>
      <c r="S49" s="9"/>
    </row>
    <row r="50" spans="1:19" x14ac:dyDescent="0.25">
      <c r="A50" s="9"/>
      <c r="B50" s="9"/>
      <c r="C50" s="9"/>
      <c r="D50" s="9"/>
      <c r="E50" s="9"/>
      <c r="F50" s="9"/>
      <c r="G50" s="9"/>
      <c r="H50" s="9"/>
      <c r="I50" s="9" t="s">
        <v>41</v>
      </c>
      <c r="J50" s="9" t="s">
        <v>41</v>
      </c>
      <c r="K50" s="9" t="s">
        <v>41</v>
      </c>
      <c r="L50" s="9" t="s">
        <v>41</v>
      </c>
      <c r="M50" s="9" t="s">
        <v>41</v>
      </c>
      <c r="N50" s="8" t="s">
        <v>41</v>
      </c>
      <c r="O50" s="8"/>
      <c r="P50" s="9"/>
      <c r="Q50" s="9"/>
      <c r="R50" s="9"/>
      <c r="S50" s="9"/>
    </row>
    <row r="51" spans="1:19" x14ac:dyDescent="0.25">
      <c r="A51" s="9"/>
      <c r="B51" s="9"/>
      <c r="C51" s="9"/>
      <c r="D51" s="9"/>
      <c r="E51" s="9"/>
      <c r="F51" s="9"/>
      <c r="G51" s="9"/>
      <c r="H51" s="9"/>
      <c r="I51" s="9" t="s">
        <v>41</v>
      </c>
      <c r="J51" s="9" t="s">
        <v>41</v>
      </c>
      <c r="K51" s="9" t="s">
        <v>41</v>
      </c>
      <c r="L51" s="9" t="s">
        <v>41</v>
      </c>
      <c r="M51" s="9" t="s">
        <v>41</v>
      </c>
      <c r="N51" s="8" t="s">
        <v>41</v>
      </c>
      <c r="O51" s="8"/>
      <c r="P51" s="9"/>
      <c r="Q51" s="9"/>
      <c r="R51" s="9"/>
      <c r="S51" s="9"/>
    </row>
    <row r="52" spans="1:1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8"/>
      <c r="O52" s="8"/>
      <c r="P52" s="9"/>
      <c r="Q52" s="9"/>
      <c r="R52" s="9"/>
      <c r="S52" s="9"/>
    </row>
    <row r="53" spans="1:19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8"/>
      <c r="O53" s="8"/>
      <c r="P53" s="9"/>
      <c r="Q53" s="9"/>
      <c r="R53" s="9"/>
      <c r="S53" s="9"/>
    </row>
    <row r="54" spans="1:19" x14ac:dyDescent="0.2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P54" s="9"/>
      <c r="Q54" s="9"/>
      <c r="R54" s="9"/>
      <c r="S54" s="9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54"/>
  <sheetViews>
    <sheetView zoomScale="90" zoomScaleNormal="90" workbookViewId="0">
      <pane ySplit="12816" topLeftCell="A37"/>
      <selection activeCell="P20" sqref="P20"/>
      <selection pane="bottomLeft" activeCell="A29" sqref="A29"/>
    </sheetView>
  </sheetViews>
  <sheetFormatPr defaultRowHeight="13.2" x14ac:dyDescent="0.25"/>
  <cols>
    <col min="1" max="1" width="7.5546875" customWidth="1"/>
    <col min="3" max="3" width="12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.33203125" customWidth="1"/>
    <col min="19" max="19" width="9.44140625" bestFit="1" customWidth="1"/>
    <col min="20" max="20" width="14.109375" customWidth="1"/>
    <col min="21" max="33" width="9.44140625" bestFit="1" customWidth="1"/>
  </cols>
  <sheetData>
    <row r="1" spans="1:26" ht="18.75" customHeight="1" x14ac:dyDescent="0.3">
      <c r="A1" s="97" t="s">
        <v>36</v>
      </c>
      <c r="B1" s="98" t="s">
        <v>37</v>
      </c>
      <c r="C1" s="4"/>
      <c r="D1" s="72"/>
      <c r="E1" s="73"/>
      <c r="F1" s="93"/>
      <c r="G1" s="94"/>
      <c r="I1" s="9"/>
      <c r="J1" s="9"/>
      <c r="K1" s="9"/>
      <c r="L1" s="9"/>
      <c r="M1" s="9"/>
      <c r="N1" s="9"/>
      <c r="Q1" s="9"/>
      <c r="R1" s="9"/>
      <c r="S1" s="9"/>
    </row>
    <row r="2" spans="1:26" ht="18" thickBot="1" x14ac:dyDescent="0.35">
      <c r="A2" s="4"/>
      <c r="B2" s="92" t="s">
        <v>21</v>
      </c>
      <c r="C2" s="91"/>
      <c r="D2" s="122" t="s">
        <v>41</v>
      </c>
      <c r="E2" s="25"/>
      <c r="F2" s="25"/>
      <c r="G2" s="25"/>
      <c r="H2" s="59"/>
      <c r="I2" s="99" t="s">
        <v>40</v>
      </c>
      <c r="J2" s="60"/>
      <c r="K2" s="9"/>
      <c r="L2" s="9"/>
      <c r="M2" s="9"/>
      <c r="N2" s="9"/>
      <c r="O2" s="9"/>
      <c r="P2" s="9"/>
      <c r="Q2" s="9"/>
      <c r="R2" s="9"/>
      <c r="S2" s="9"/>
    </row>
    <row r="3" spans="1:26" ht="15.6" thickBot="1" x14ac:dyDescent="0.3">
      <c r="A3" s="87">
        <v>2</v>
      </c>
      <c r="B3" s="89" t="s">
        <v>27</v>
      </c>
      <c r="C3" s="88"/>
      <c r="D3" s="32"/>
      <c r="E3" s="23"/>
      <c r="F3" s="19" t="s">
        <v>20</v>
      </c>
      <c r="G3" s="23"/>
      <c r="H3" s="23"/>
      <c r="I3" s="100"/>
      <c r="J3" s="75">
        <v>0.21005101952408253</v>
      </c>
      <c r="K3" s="124"/>
      <c r="L3" s="125"/>
      <c r="M3" s="126"/>
      <c r="N3" s="126"/>
      <c r="O3" s="127"/>
      <c r="P3" s="127"/>
      <c r="Q3" s="9"/>
      <c r="R3" s="9"/>
      <c r="S3" s="9"/>
    </row>
    <row r="4" spans="1:26" x14ac:dyDescent="0.25">
      <c r="A4" s="2"/>
      <c r="B4" s="2"/>
      <c r="C4" s="2"/>
      <c r="D4" s="33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7" t="s">
        <v>35</v>
      </c>
      <c r="J4" s="85"/>
      <c r="K4" s="139" t="s">
        <v>85</v>
      </c>
      <c r="L4" s="128"/>
      <c r="M4" s="128"/>
      <c r="N4" s="128"/>
      <c r="O4" s="128"/>
      <c r="P4" s="129"/>
      <c r="Q4" s="128"/>
      <c r="R4" s="7"/>
      <c r="S4" s="63"/>
      <c r="T4" s="13"/>
      <c r="U4" s="13"/>
      <c r="V4" s="1"/>
      <c r="W4" s="1"/>
      <c r="X4" s="1"/>
    </row>
    <row r="5" spans="1:26" x14ac:dyDescent="0.25">
      <c r="A5" s="2" t="s">
        <v>0</v>
      </c>
      <c r="B5" s="35" t="s">
        <v>3</v>
      </c>
      <c r="C5" s="16" t="s">
        <v>7</v>
      </c>
      <c r="D5" s="39" t="s">
        <v>2</v>
      </c>
      <c r="E5" s="37" t="s">
        <v>30</v>
      </c>
      <c r="F5" s="37" t="s">
        <v>30</v>
      </c>
      <c r="G5" s="38" t="s">
        <v>17</v>
      </c>
      <c r="H5" s="16" t="s">
        <v>34</v>
      </c>
      <c r="I5" s="118" t="s">
        <v>38</v>
      </c>
      <c r="J5" s="49" t="s">
        <v>39</v>
      </c>
      <c r="K5" s="74">
        <f t="shared" ref="K5:P5" si="0">IF(COLUMN(K5)&lt;=nt+10,COLUMN(K5)-10,IF(J5=nt,"     ",""))</f>
        <v>1</v>
      </c>
      <c r="L5" s="28">
        <f t="shared" si="0"/>
        <v>2</v>
      </c>
      <c r="M5" s="28" t="str">
        <f t="shared" si="0"/>
        <v xml:space="preserve">     </v>
      </c>
      <c r="N5" s="28" t="str">
        <f t="shared" si="0"/>
        <v/>
      </c>
      <c r="O5" s="28" t="str">
        <f t="shared" si="0"/>
        <v/>
      </c>
      <c r="P5" s="28" t="str">
        <f t="shared" si="0"/>
        <v/>
      </c>
      <c r="Q5" s="128"/>
      <c r="R5" s="7"/>
      <c r="S5" s="9"/>
      <c r="T5" s="13"/>
      <c r="U5" s="13"/>
      <c r="V5" s="1"/>
      <c r="W5" s="1"/>
      <c r="X5" s="1"/>
    </row>
    <row r="6" spans="1:26" x14ac:dyDescent="0.25">
      <c r="A6" s="3">
        <f t="shared" ref="A6:A11" si="1">IF(ROW(A6)&lt;=nt+5,ROW(A6)-5,IF(A5=nt,"     ",""))</f>
        <v>1</v>
      </c>
      <c r="B6" s="137" t="s">
        <v>80</v>
      </c>
      <c r="C6" s="137" t="s">
        <v>82</v>
      </c>
      <c r="D6" s="34">
        <v>2.5</v>
      </c>
      <c r="E6" s="5">
        <v>0.3</v>
      </c>
      <c r="F6" s="5">
        <v>0.5</v>
      </c>
      <c r="G6" s="5">
        <v>0</v>
      </c>
      <c r="H6" s="5">
        <v>0.2</v>
      </c>
      <c r="I6" s="47">
        <f t="shared" ref="I6:I11" si="2">IF($A6&lt;=nt,SQRT(E6)*D6," ")</f>
        <v>1.3693063937629151</v>
      </c>
      <c r="J6" s="101">
        <f t="shared" ref="J6:J11" si="3">IF($A6&lt;=nt,H6*I6," ")</f>
        <v>0.27386127875258304</v>
      </c>
      <c r="K6" s="134">
        <v>1.5056119397272278</v>
      </c>
      <c r="L6" s="134">
        <v>0.70029237712423376</v>
      </c>
      <c r="M6" s="134" t="s">
        <v>44</v>
      </c>
      <c r="N6" s="134" t="s">
        <v>44</v>
      </c>
      <c r="O6" s="134" t="s">
        <v>44</v>
      </c>
      <c r="P6" s="101" t="s">
        <v>44</v>
      </c>
      <c r="Q6" s="130"/>
      <c r="R6" s="7"/>
      <c r="S6" s="8"/>
      <c r="T6" s="13"/>
      <c r="U6" s="12"/>
      <c r="V6" s="14"/>
      <c r="W6" s="1"/>
      <c r="X6" s="1"/>
    </row>
    <row r="7" spans="1:26" x14ac:dyDescent="0.25">
      <c r="A7" s="3">
        <f t="shared" si="1"/>
        <v>2</v>
      </c>
      <c r="B7" s="137" t="s">
        <v>81</v>
      </c>
      <c r="C7" s="137" t="s">
        <v>82</v>
      </c>
      <c r="D7" s="34">
        <v>2</v>
      </c>
      <c r="E7" s="5">
        <v>0.2</v>
      </c>
      <c r="F7" s="5">
        <v>0.5</v>
      </c>
      <c r="G7" s="5">
        <v>0</v>
      </c>
      <c r="H7" s="5">
        <v>-0.3</v>
      </c>
      <c r="I7" s="47">
        <f t="shared" si="2"/>
        <v>0.89442719099991586</v>
      </c>
      <c r="J7" s="101">
        <f t="shared" si="3"/>
        <v>-0.26832815729997472</v>
      </c>
      <c r="K7" s="134">
        <v>0.88741780130355508</v>
      </c>
      <c r="L7" s="134">
        <v>0.41360851901787699</v>
      </c>
      <c r="M7" s="134" t="s">
        <v>44</v>
      </c>
      <c r="N7" s="134" t="s">
        <v>44</v>
      </c>
      <c r="O7" s="134" t="s">
        <v>44</v>
      </c>
      <c r="P7" s="101" t="s">
        <v>44</v>
      </c>
      <c r="Q7" s="130"/>
      <c r="R7" s="7"/>
      <c r="S7" s="8"/>
      <c r="T7" s="13"/>
      <c r="U7" s="12"/>
      <c r="V7" s="14"/>
      <c r="W7" s="1"/>
      <c r="X7" s="1"/>
    </row>
    <row r="8" spans="1:26" x14ac:dyDescent="0.25">
      <c r="A8" s="3" t="str">
        <f t="shared" si="1"/>
        <v xml:space="preserve">     </v>
      </c>
      <c r="B8" s="5"/>
      <c r="C8" s="5"/>
      <c r="D8" s="34"/>
      <c r="E8" s="5"/>
      <c r="F8" s="5"/>
      <c r="G8" s="5"/>
      <c r="H8" s="5"/>
      <c r="I8" s="47" t="str">
        <f t="shared" si="2"/>
        <v xml:space="preserve"> </v>
      </c>
      <c r="J8" s="101" t="str">
        <f t="shared" si="3"/>
        <v xml:space="preserve"> </v>
      </c>
      <c r="K8" s="134" t="s">
        <v>44</v>
      </c>
      <c r="L8" s="134" t="s">
        <v>44</v>
      </c>
      <c r="M8" s="134" t="s">
        <v>44</v>
      </c>
      <c r="N8" s="134" t="s">
        <v>44</v>
      </c>
      <c r="O8" s="134" t="s">
        <v>44</v>
      </c>
      <c r="P8" s="101" t="s">
        <v>44</v>
      </c>
      <c r="Q8" s="130"/>
      <c r="R8" s="7"/>
      <c r="S8" s="8"/>
      <c r="T8" s="13"/>
      <c r="U8" s="12"/>
      <c r="V8" s="14"/>
      <c r="W8" s="1"/>
      <c r="X8" s="1"/>
    </row>
    <row r="9" spans="1:26" x14ac:dyDescent="0.25">
      <c r="A9" s="3" t="str">
        <f t="shared" si="1"/>
        <v/>
      </c>
      <c r="B9" s="5"/>
      <c r="C9" s="5"/>
      <c r="D9" s="34"/>
      <c r="E9" s="5"/>
      <c r="F9" s="5"/>
      <c r="G9" s="5"/>
      <c r="H9" s="5"/>
      <c r="I9" s="47" t="str">
        <f t="shared" si="2"/>
        <v xml:space="preserve"> </v>
      </c>
      <c r="J9" s="101" t="str">
        <f t="shared" si="3"/>
        <v xml:space="preserve"> </v>
      </c>
      <c r="K9" s="134" t="s">
        <v>44</v>
      </c>
      <c r="L9" s="134" t="s">
        <v>44</v>
      </c>
      <c r="M9" s="134" t="s">
        <v>44</v>
      </c>
      <c r="N9" s="134" t="s">
        <v>44</v>
      </c>
      <c r="O9" s="134" t="s">
        <v>44</v>
      </c>
      <c r="P9" s="101" t="s">
        <v>44</v>
      </c>
      <c r="Q9" s="130"/>
      <c r="R9" s="7"/>
      <c r="S9" s="8"/>
      <c r="T9" s="13"/>
      <c r="U9" s="12"/>
      <c r="V9" s="14"/>
      <c r="W9" s="1"/>
      <c r="X9" s="1"/>
    </row>
    <row r="10" spans="1:26" x14ac:dyDescent="0.25">
      <c r="A10" s="3" t="str">
        <f t="shared" si="1"/>
        <v/>
      </c>
      <c r="B10" s="5"/>
      <c r="C10" s="5"/>
      <c r="D10" s="34"/>
      <c r="E10" s="5"/>
      <c r="F10" s="5"/>
      <c r="G10" s="5"/>
      <c r="H10" s="5"/>
      <c r="I10" s="47" t="str">
        <f t="shared" si="2"/>
        <v xml:space="preserve"> </v>
      </c>
      <c r="J10" s="101" t="str">
        <f t="shared" si="3"/>
        <v xml:space="preserve"> </v>
      </c>
      <c r="K10" s="134" t="s">
        <v>44</v>
      </c>
      <c r="L10" s="134" t="s">
        <v>44</v>
      </c>
      <c r="M10" s="134" t="s">
        <v>44</v>
      </c>
      <c r="N10" s="134" t="s">
        <v>44</v>
      </c>
      <c r="O10" s="134" t="s">
        <v>44</v>
      </c>
      <c r="P10" s="101" t="s">
        <v>44</v>
      </c>
      <c r="Q10" s="130"/>
      <c r="R10" s="7"/>
      <c r="S10" s="8"/>
      <c r="T10" s="13"/>
      <c r="U10" s="12"/>
      <c r="V10" s="14"/>
      <c r="W10" s="1"/>
      <c r="X10" s="1"/>
      <c r="Z10" t="str">
        <f>IF(COLUMN(Z10)&lt;=nt+3,COLUMN(Z10)-3,IF(Y10=nt,"Correlation structure",""))</f>
        <v/>
      </c>
    </row>
    <row r="11" spans="1:26" x14ac:dyDescent="0.25">
      <c r="A11" s="16" t="str">
        <f t="shared" si="1"/>
        <v/>
      </c>
      <c r="B11" s="36"/>
      <c r="C11" s="5"/>
      <c r="D11" s="34"/>
      <c r="E11" s="5"/>
      <c r="F11" s="5"/>
      <c r="G11" s="5"/>
      <c r="H11" s="5"/>
      <c r="I11" s="47" t="str">
        <f t="shared" si="2"/>
        <v xml:space="preserve"> </v>
      </c>
      <c r="J11" s="101" t="str">
        <f t="shared" si="3"/>
        <v xml:space="preserve"> </v>
      </c>
      <c r="K11" s="132" t="s">
        <v>44</v>
      </c>
      <c r="L11" s="132" t="s">
        <v>44</v>
      </c>
      <c r="M11" s="132" t="s">
        <v>44</v>
      </c>
      <c r="N11" s="132" t="s">
        <v>44</v>
      </c>
      <c r="O11" s="132" t="s">
        <v>44</v>
      </c>
      <c r="P11" s="133" t="s">
        <v>44</v>
      </c>
      <c r="Q11" s="128"/>
      <c r="R11" s="7"/>
      <c r="S11" s="8"/>
      <c r="T11" s="13"/>
      <c r="U11" s="12"/>
      <c r="V11" s="14"/>
      <c r="W11" s="1"/>
      <c r="X11" s="1"/>
    </row>
    <row r="12" spans="1:26" x14ac:dyDescent="0.25">
      <c r="A12" s="1"/>
      <c r="B12" s="7"/>
      <c r="C12" s="30"/>
      <c r="D12" s="31" t="s">
        <v>25</v>
      </c>
      <c r="E12" s="30"/>
      <c r="F12" s="30"/>
      <c r="G12" s="30"/>
      <c r="H12" s="42"/>
      <c r="I12" s="41"/>
      <c r="J12" s="66" t="s">
        <v>26</v>
      </c>
      <c r="K12" s="40"/>
      <c r="L12" s="23"/>
      <c r="M12" s="23"/>
      <c r="N12" s="76"/>
      <c r="O12" s="62"/>
      <c r="P12" s="7"/>
      <c r="Q12" s="7"/>
      <c r="R12" s="7"/>
      <c r="S12" s="8"/>
      <c r="T12" s="13"/>
      <c r="U12" s="12"/>
      <c r="V12" s="14"/>
      <c r="W12" s="1"/>
      <c r="X12" s="1"/>
    </row>
    <row r="13" spans="1:26" x14ac:dyDescent="0.25">
      <c r="A13" s="21" t="s">
        <v>1</v>
      </c>
      <c r="B13" s="22"/>
      <c r="C13" s="20">
        <f t="shared" ref="C13:H13" si="4">IF(COLUMN(C13)&lt;=nt+2,COLUMN(C13)-2,IF(B13=nt,"Phenotypic",""))</f>
        <v>1</v>
      </c>
      <c r="D13" s="20">
        <f t="shared" si="4"/>
        <v>2</v>
      </c>
      <c r="E13" s="20" t="str">
        <f t="shared" si="4"/>
        <v>Phenotypic</v>
      </c>
      <c r="F13" s="20" t="str">
        <f t="shared" si="4"/>
        <v/>
      </c>
      <c r="G13" s="20" t="str">
        <f t="shared" si="4"/>
        <v/>
      </c>
      <c r="H13" s="43" t="str">
        <f t="shared" si="4"/>
        <v/>
      </c>
      <c r="I13" s="86" t="s">
        <v>11</v>
      </c>
      <c r="J13" s="16" t="s">
        <v>13</v>
      </c>
      <c r="K13" s="16" t="s">
        <v>12</v>
      </c>
      <c r="L13" s="16" t="s">
        <v>14</v>
      </c>
      <c r="M13" s="16" t="s">
        <v>15</v>
      </c>
      <c r="N13" s="77" t="s">
        <v>16</v>
      </c>
      <c r="O13" s="7"/>
      <c r="P13" s="7"/>
      <c r="Q13" s="7"/>
      <c r="R13" s="7"/>
      <c r="S13" s="8"/>
      <c r="T13" s="13"/>
      <c r="U13" s="12"/>
      <c r="V13" s="14"/>
      <c r="W13" s="1"/>
      <c r="X13" s="1"/>
    </row>
    <row r="14" spans="1:26" x14ac:dyDescent="0.25">
      <c r="A14" s="3" t="str">
        <f>IF(ROW(A14)&lt;=nt+22,$B6,IF(A13=nt," Genetic Correlation   ",""))</f>
        <v>Milk</v>
      </c>
      <c r="B14" s="20">
        <f t="shared" ref="B14:B20" si="5">IF(ROW(B14)&lt;=nt+13,ROW(B14)-13,IF(B13=nt," Genetic   ",""))</f>
        <v>1</v>
      </c>
      <c r="C14" s="4">
        <v>1</v>
      </c>
      <c r="D14" s="4">
        <v>0.4</v>
      </c>
      <c r="E14" s="4"/>
      <c r="F14" s="4"/>
      <c r="G14" s="4"/>
      <c r="H14" s="4"/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78">
        <v>50</v>
      </c>
      <c r="O14" s="62"/>
      <c r="P14" s="7"/>
      <c r="Q14" s="7"/>
      <c r="R14" s="7"/>
      <c r="S14" s="8"/>
      <c r="T14" s="13"/>
      <c r="U14" s="12"/>
      <c r="V14" s="14"/>
      <c r="W14" s="1"/>
      <c r="X14" s="1"/>
    </row>
    <row r="15" spans="1:26" x14ac:dyDescent="0.25">
      <c r="A15" s="3" t="str">
        <f>IF(ROW(A15)&lt;=nt+22,$B7,IF(A14=nt," Genetic Correlation   ",""))</f>
        <v>Feed</v>
      </c>
      <c r="B15" s="20">
        <f t="shared" si="5"/>
        <v>2</v>
      </c>
      <c r="C15" s="4">
        <v>0.7</v>
      </c>
      <c r="D15" s="4">
        <v>1</v>
      </c>
      <c r="E15" s="4"/>
      <c r="F15" s="4"/>
      <c r="G15" s="4"/>
      <c r="H15" s="4"/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78">
        <v>10</v>
      </c>
      <c r="O15" s="7"/>
      <c r="P15" s="7"/>
      <c r="Q15" s="7"/>
      <c r="R15" s="7"/>
      <c r="S15" s="8"/>
      <c r="T15" s="13"/>
      <c r="U15" s="12"/>
      <c r="V15" s="14"/>
      <c r="W15" s="1"/>
      <c r="X15" s="1"/>
    </row>
    <row r="16" spans="1:26" x14ac:dyDescent="0.25">
      <c r="A16" s="3">
        <f>IF(ROW(A16)&lt;=nt+22,$B8,IF(A15=nt," Genetic Correlation   ",""))</f>
        <v>0</v>
      </c>
      <c r="B16" s="20" t="str">
        <f t="shared" si="5"/>
        <v xml:space="preserve"> Genetic   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40"/>
      <c r="O16" s="7"/>
      <c r="P16" s="7"/>
      <c r="Q16" s="7"/>
      <c r="R16" s="7"/>
      <c r="S16" s="8"/>
      <c r="T16" s="13"/>
      <c r="U16" s="12"/>
      <c r="V16" s="14"/>
      <c r="W16" s="1"/>
      <c r="X16" s="1"/>
    </row>
    <row r="17" spans="1:24" x14ac:dyDescent="0.25">
      <c r="A17" s="3">
        <f>IF(ROW(A17)&lt;=nt+22,$B9,IF(A16=nt," Genetic Correlation   ",""))</f>
        <v>0</v>
      </c>
      <c r="B17" s="20" t="str">
        <f t="shared" si="5"/>
        <v/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140"/>
      <c r="O17" s="7"/>
      <c r="P17" s="7"/>
      <c r="Q17" s="7"/>
      <c r="R17" s="7"/>
      <c r="S17" s="8"/>
      <c r="T17" s="13"/>
      <c r="U17" s="12"/>
      <c r="V17" s="14"/>
      <c r="W17" s="1"/>
      <c r="X17" s="1"/>
    </row>
    <row r="18" spans="1:24" x14ac:dyDescent="0.25">
      <c r="A18" s="18">
        <f>IF(ROW(A18)&lt;=nt+22,$B10,IF(A17=nt," Genetic Correlation   ",""))</f>
        <v>0</v>
      </c>
      <c r="B18" s="44" t="str">
        <f t="shared" si="5"/>
        <v/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140"/>
      <c r="O18" s="62"/>
      <c r="P18" s="7"/>
      <c r="Q18" s="7"/>
      <c r="R18" s="7"/>
      <c r="S18" s="8"/>
      <c r="T18" s="13"/>
      <c r="U18" s="12"/>
      <c r="V18" s="14"/>
      <c r="W18" s="1"/>
      <c r="X18" s="1"/>
    </row>
    <row r="19" spans="1:24" ht="12" customHeight="1" x14ac:dyDescent="0.25">
      <c r="A19" s="16" t="str">
        <f>IF(ROW(A19)&lt;=nt+13,$B11,IF(A18=nt," Genetic Correlation   ",""))</f>
        <v/>
      </c>
      <c r="B19" s="45" t="str">
        <f t="shared" si="5"/>
        <v/>
      </c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141"/>
      <c r="O19" s="62"/>
      <c r="P19" s="7"/>
      <c r="Q19" s="7"/>
      <c r="R19" s="7"/>
      <c r="S19" s="8"/>
      <c r="T19" s="13"/>
      <c r="U19" s="12"/>
      <c r="V19" s="14"/>
      <c r="W19" s="1"/>
      <c r="X19" s="1"/>
    </row>
    <row r="20" spans="1:24" ht="15" customHeight="1" x14ac:dyDescent="0.25">
      <c r="A20" s="58"/>
      <c r="B20" s="116" t="str">
        <f t="shared" si="5"/>
        <v/>
      </c>
      <c r="C20" s="119" t="s">
        <v>41</v>
      </c>
      <c r="D20" s="119" t="s">
        <v>41</v>
      </c>
      <c r="E20" s="119" t="s">
        <v>41</v>
      </c>
      <c r="F20" s="58"/>
      <c r="G20" s="58"/>
      <c r="H20" s="58"/>
      <c r="I20" s="58"/>
      <c r="J20" s="58"/>
      <c r="K20" s="58"/>
      <c r="L20" s="58"/>
      <c r="M20" s="58"/>
      <c r="N20" s="58"/>
      <c r="O20" s="62"/>
      <c r="P20" s="7"/>
      <c r="Q20" s="7"/>
      <c r="R20" s="7"/>
      <c r="S20" s="9"/>
      <c r="T20" s="1"/>
      <c r="U20" s="1"/>
      <c r="V20" s="1"/>
    </row>
    <row r="21" spans="1:24" x14ac:dyDescent="0.25">
      <c r="A21" s="90"/>
      <c r="B21" s="6"/>
      <c r="C21" s="90"/>
      <c r="D21" s="6"/>
      <c r="E21" s="6"/>
      <c r="F21" s="115" t="s">
        <v>10</v>
      </c>
      <c r="G21" s="114" t="s">
        <v>8</v>
      </c>
      <c r="H21" s="6"/>
      <c r="I21" s="6"/>
      <c r="J21" s="6"/>
      <c r="K21" s="6"/>
      <c r="L21" s="6"/>
      <c r="M21" s="6"/>
      <c r="N21" s="48"/>
      <c r="O21" s="62"/>
      <c r="P21" s="7"/>
      <c r="Q21" s="7"/>
      <c r="R21" s="7"/>
      <c r="S21" s="9"/>
    </row>
    <row r="22" spans="1:24" ht="17.399999999999999" x14ac:dyDescent="0.3">
      <c r="A22" s="65" t="s">
        <v>28</v>
      </c>
      <c r="B22" s="64"/>
      <c r="C22" s="95" t="s">
        <v>44</v>
      </c>
      <c r="D22" s="6"/>
      <c r="E22" s="6"/>
      <c r="F22" s="67">
        <v>0.11581951064388929</v>
      </c>
      <c r="G22" s="123">
        <v>0.55138751959549748</v>
      </c>
      <c r="H22" s="6"/>
      <c r="I22" s="6"/>
      <c r="J22" s="6"/>
      <c r="K22" s="6"/>
      <c r="L22" s="6"/>
      <c r="M22" s="6"/>
      <c r="N22" s="61"/>
      <c r="O22" s="9"/>
      <c r="P22" s="9"/>
      <c r="Q22" s="9"/>
      <c r="R22" s="9"/>
      <c r="S22" s="9"/>
    </row>
    <row r="23" spans="1:24" ht="15.6" x14ac:dyDescent="0.3">
      <c r="A23" s="11"/>
      <c r="B23" s="53" t="s">
        <v>9</v>
      </c>
      <c r="C23" s="96" t="s">
        <v>29</v>
      </c>
      <c r="D23" s="106"/>
      <c r="E23" s="110" t="s">
        <v>6</v>
      </c>
      <c r="F23" s="102"/>
      <c r="G23" s="107" t="s">
        <v>31</v>
      </c>
      <c r="H23" s="79"/>
      <c r="I23" s="68"/>
      <c r="J23" s="54"/>
      <c r="K23" s="55" t="s">
        <v>24</v>
      </c>
      <c r="L23" s="56"/>
      <c r="M23" s="54"/>
      <c r="N23" s="57"/>
      <c r="O23" s="9"/>
      <c r="P23" s="9"/>
      <c r="Q23" s="9"/>
      <c r="R23" s="9"/>
      <c r="S23" s="9"/>
    </row>
    <row r="24" spans="1:24" x14ac:dyDescent="0.25">
      <c r="A24" s="15"/>
      <c r="B24" s="15"/>
      <c r="C24" s="74" t="s">
        <v>2</v>
      </c>
      <c r="D24" s="86"/>
      <c r="E24" s="16"/>
      <c r="F24" s="112" t="s">
        <v>39</v>
      </c>
      <c r="G24" s="74" t="s">
        <v>22</v>
      </c>
      <c r="H24" s="49" t="s">
        <v>23</v>
      </c>
      <c r="I24" s="69" t="s">
        <v>11</v>
      </c>
      <c r="J24" s="26" t="s">
        <v>13</v>
      </c>
      <c r="K24" s="26" t="s">
        <v>12</v>
      </c>
      <c r="L24" s="26" t="s">
        <v>14</v>
      </c>
      <c r="M24" s="27" t="s">
        <v>15</v>
      </c>
      <c r="N24" s="50" t="s">
        <v>16</v>
      </c>
      <c r="O24" s="9"/>
      <c r="P24" s="9"/>
      <c r="Q24" s="9"/>
      <c r="R24" s="9"/>
      <c r="S24" s="9"/>
    </row>
    <row r="25" spans="1:24" x14ac:dyDescent="0.25">
      <c r="A25" s="29">
        <f t="shared" ref="A25:A30" si="6">A6</f>
        <v>1</v>
      </c>
      <c r="B25" s="82" t="str">
        <f t="shared" ref="B25:B30" si="7">IF(ROW(A6)&lt;=nt+5,B6,IF(A5=nt,"     ",""))</f>
        <v>Milk</v>
      </c>
      <c r="C25" s="47">
        <f t="shared" ref="C25:C30" si="8">IF($A6&lt;=nt,SQRT(E6)*D6," ")</f>
        <v>1.3693063937629151</v>
      </c>
      <c r="D25" s="104">
        <v>0.78600465760971927</v>
      </c>
      <c r="E25" s="111" t="str">
        <f t="shared" ref="E25:E30" si="9">IF(ROW(A6)&lt;=nt+5,C6,IF(A5=nt,"     ",""))</f>
        <v>kg/day</v>
      </c>
      <c r="F25" s="103">
        <v>0.15720093152194387</v>
      </c>
      <c r="G25" s="108">
        <v>0.89609878613978067</v>
      </c>
      <c r="H25" s="80">
        <v>0.89562215103979814</v>
      </c>
      <c r="I25" s="70" t="s">
        <v>19</v>
      </c>
      <c r="J25" s="17" t="s">
        <v>19</v>
      </c>
      <c r="K25" s="17" t="s">
        <v>19</v>
      </c>
      <c r="L25" s="17" t="s">
        <v>19</v>
      </c>
      <c r="M25" s="17" t="s">
        <v>19</v>
      </c>
      <c r="N25" s="51">
        <v>0.15459148190065206</v>
      </c>
      <c r="O25" s="9"/>
      <c r="P25" s="9"/>
      <c r="Q25" s="7"/>
      <c r="R25" s="9"/>
      <c r="S25" s="9"/>
    </row>
    <row r="26" spans="1:24" x14ac:dyDescent="0.25">
      <c r="A26" s="29">
        <f t="shared" si="6"/>
        <v>2</v>
      </c>
      <c r="B26" s="83" t="str">
        <f t="shared" si="7"/>
        <v>Feed</v>
      </c>
      <c r="C26" s="47">
        <f t="shared" si="8"/>
        <v>0.89442719099991586</v>
      </c>
      <c r="D26" s="104">
        <v>0.13793806959351523</v>
      </c>
      <c r="E26" s="111" t="str">
        <f t="shared" si="9"/>
        <v>kg/day</v>
      </c>
      <c r="F26" s="104">
        <v>-4.1381420878054569E-2</v>
      </c>
      <c r="G26" s="108">
        <v>0.71903452543834523</v>
      </c>
      <c r="H26" s="80">
        <v>0.5872202195147036</v>
      </c>
      <c r="I26" s="70" t="s">
        <v>19</v>
      </c>
      <c r="J26" s="17" t="s">
        <v>19</v>
      </c>
      <c r="K26" s="17" t="s">
        <v>19</v>
      </c>
      <c r="L26" s="17" t="s">
        <v>19</v>
      </c>
      <c r="M26" s="113" t="s">
        <v>19</v>
      </c>
      <c r="N26" s="51">
        <v>-0.12572843474260892</v>
      </c>
      <c r="O26" s="9"/>
      <c r="P26" s="9"/>
      <c r="Q26" s="9"/>
      <c r="R26" s="9"/>
      <c r="S26" s="9"/>
    </row>
    <row r="27" spans="1:24" x14ac:dyDescent="0.25">
      <c r="A27" s="29" t="str">
        <f t="shared" si="6"/>
        <v xml:space="preserve">     </v>
      </c>
      <c r="B27" s="83" t="str">
        <f t="shared" si="7"/>
        <v xml:space="preserve">     </v>
      </c>
      <c r="C27" s="47" t="str">
        <f t="shared" si="8"/>
        <v xml:space="preserve"> </v>
      </c>
      <c r="D27" s="104" t="s">
        <v>44</v>
      </c>
      <c r="E27" s="111" t="str">
        <f t="shared" si="9"/>
        <v xml:space="preserve">     </v>
      </c>
      <c r="F27" s="104" t="s">
        <v>44</v>
      </c>
      <c r="G27" s="108" t="s">
        <v>44</v>
      </c>
      <c r="H27" s="80" t="s">
        <v>44</v>
      </c>
      <c r="I27" s="70" t="s">
        <v>44</v>
      </c>
      <c r="J27" s="17" t="s">
        <v>44</v>
      </c>
      <c r="K27" s="17" t="s">
        <v>44</v>
      </c>
      <c r="L27" s="17" t="s">
        <v>44</v>
      </c>
      <c r="M27" s="17" t="s">
        <v>44</v>
      </c>
      <c r="N27" s="51" t="s">
        <v>44</v>
      </c>
      <c r="O27" s="9"/>
      <c r="P27" s="9"/>
      <c r="Q27" s="9"/>
      <c r="R27" s="9"/>
      <c r="S27" s="9"/>
    </row>
    <row r="28" spans="1:24" x14ac:dyDescent="0.25">
      <c r="A28" s="29" t="str">
        <f t="shared" si="6"/>
        <v/>
      </c>
      <c r="B28" s="83" t="str">
        <f t="shared" si="7"/>
        <v/>
      </c>
      <c r="C28" s="47" t="str">
        <f t="shared" si="8"/>
        <v xml:space="preserve"> </v>
      </c>
      <c r="D28" s="104" t="s">
        <v>44</v>
      </c>
      <c r="E28" s="111" t="str">
        <f t="shared" si="9"/>
        <v/>
      </c>
      <c r="F28" s="104" t="s">
        <v>44</v>
      </c>
      <c r="G28" s="108" t="s">
        <v>44</v>
      </c>
      <c r="H28" s="80" t="s">
        <v>44</v>
      </c>
      <c r="I28" s="70" t="s">
        <v>44</v>
      </c>
      <c r="J28" s="17" t="s">
        <v>44</v>
      </c>
      <c r="K28" s="17" t="s">
        <v>44</v>
      </c>
      <c r="L28" s="17" t="s">
        <v>44</v>
      </c>
      <c r="M28" s="17" t="s">
        <v>44</v>
      </c>
      <c r="N28" s="51" t="s">
        <v>44</v>
      </c>
      <c r="O28" s="9"/>
      <c r="P28" s="9"/>
      <c r="Q28" s="9"/>
      <c r="R28" s="9"/>
      <c r="S28" s="9"/>
    </row>
    <row r="29" spans="1:24" x14ac:dyDescent="0.25">
      <c r="A29" s="29" t="str">
        <f t="shared" si="6"/>
        <v/>
      </c>
      <c r="B29" s="83" t="str">
        <f t="shared" si="7"/>
        <v/>
      </c>
      <c r="C29" s="47" t="str">
        <f t="shared" si="8"/>
        <v xml:space="preserve"> </v>
      </c>
      <c r="D29" s="104" t="s">
        <v>44</v>
      </c>
      <c r="E29" s="111" t="str">
        <f t="shared" si="9"/>
        <v/>
      </c>
      <c r="F29" s="104" t="s">
        <v>44</v>
      </c>
      <c r="G29" s="108" t="s">
        <v>44</v>
      </c>
      <c r="H29" s="80" t="s">
        <v>44</v>
      </c>
      <c r="I29" s="70" t="s">
        <v>44</v>
      </c>
      <c r="J29" s="17" t="s">
        <v>44</v>
      </c>
      <c r="K29" s="17" t="s">
        <v>44</v>
      </c>
      <c r="L29" s="17" t="s">
        <v>44</v>
      </c>
      <c r="M29" s="17" t="s">
        <v>44</v>
      </c>
      <c r="N29" s="51" t="s">
        <v>44</v>
      </c>
      <c r="O29" s="9"/>
      <c r="P29" s="9"/>
      <c r="Q29" s="9"/>
      <c r="R29" s="9"/>
      <c r="S29" s="9"/>
    </row>
    <row r="30" spans="1:24" x14ac:dyDescent="0.25">
      <c r="A30" s="28" t="str">
        <f t="shared" si="6"/>
        <v/>
      </c>
      <c r="B30" s="84" t="str">
        <f t="shared" si="7"/>
        <v/>
      </c>
      <c r="C30" s="120" t="str">
        <f t="shared" si="8"/>
        <v xml:space="preserve"> </v>
      </c>
      <c r="D30" s="105" t="s">
        <v>44</v>
      </c>
      <c r="E30" s="121" t="str">
        <f t="shared" si="9"/>
        <v/>
      </c>
      <c r="F30" s="105" t="s">
        <v>44</v>
      </c>
      <c r="G30" s="109" t="s">
        <v>44</v>
      </c>
      <c r="H30" s="81" t="s">
        <v>44</v>
      </c>
      <c r="I30" s="71" t="s">
        <v>44</v>
      </c>
      <c r="J30" s="27" t="s">
        <v>44</v>
      </c>
      <c r="K30" s="27" t="s">
        <v>44</v>
      </c>
      <c r="L30" s="27" t="s">
        <v>44</v>
      </c>
      <c r="M30" s="27" t="s">
        <v>44</v>
      </c>
      <c r="N30" s="52" t="s">
        <v>44</v>
      </c>
      <c r="O30" s="9"/>
      <c r="P30" s="9"/>
      <c r="Q30" s="9"/>
      <c r="R30" s="9"/>
      <c r="S30" s="9"/>
    </row>
    <row r="31" spans="1:24" x14ac:dyDescent="0.25">
      <c r="A31" s="9"/>
      <c r="B31" s="24"/>
      <c r="C31" s="9"/>
      <c r="D31" s="9"/>
      <c r="E31" s="9"/>
      <c r="F31" s="9"/>
      <c r="G31" s="10"/>
      <c r="H31" s="10"/>
      <c r="I31" s="10"/>
      <c r="J31" s="10"/>
      <c r="K31" s="10"/>
      <c r="L31" s="10"/>
      <c r="M31" s="10"/>
      <c r="N31" s="10"/>
      <c r="O31" s="9"/>
      <c r="P31" s="9"/>
      <c r="Q31" s="9"/>
      <c r="R31" s="9"/>
      <c r="S31" s="9"/>
    </row>
    <row r="32" spans="1:24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</row>
    <row r="33" spans="1:1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</row>
    <row r="34" spans="1:1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</row>
    <row r="35" spans="1:19" x14ac:dyDescent="0.25">
      <c r="A35" s="9"/>
      <c r="B35" s="9"/>
      <c r="C35" s="9" t="s">
        <v>42</v>
      </c>
      <c r="D35" s="9"/>
      <c r="E35" s="9"/>
      <c r="F35" s="9"/>
      <c r="G35" s="9"/>
      <c r="H35" s="9"/>
      <c r="I35" s="9" t="s">
        <v>47</v>
      </c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1:19" x14ac:dyDescent="0.25">
      <c r="A36" s="9"/>
      <c r="B36" s="8">
        <v>1.8749999999999993</v>
      </c>
      <c r="C36" s="8">
        <v>0.8573214099741121</v>
      </c>
      <c r="D36" s="9"/>
      <c r="E36" s="9"/>
      <c r="F36" s="9"/>
      <c r="G36" s="9"/>
      <c r="H36" s="9"/>
      <c r="I36" s="9" t="s">
        <v>45</v>
      </c>
      <c r="J36" s="9" t="s">
        <v>45</v>
      </c>
      <c r="K36" s="9" t="s">
        <v>45</v>
      </c>
      <c r="L36" s="9" t="s">
        <v>45</v>
      </c>
      <c r="M36" s="9" t="s">
        <v>45</v>
      </c>
      <c r="N36" s="8" t="s">
        <v>45</v>
      </c>
      <c r="O36" s="8"/>
      <c r="P36" s="9"/>
      <c r="Q36" s="9"/>
      <c r="R36" s="9"/>
      <c r="S36" s="9"/>
    </row>
    <row r="37" spans="1:19" x14ac:dyDescent="0.25">
      <c r="A37" s="9"/>
      <c r="B37" s="8">
        <v>0.7</v>
      </c>
      <c r="C37" s="8">
        <v>0.79999999999999993</v>
      </c>
      <c r="D37" s="9"/>
      <c r="E37" s="9"/>
      <c r="F37" s="9"/>
      <c r="G37" s="9"/>
      <c r="H37" s="9"/>
      <c r="I37" s="9" t="s">
        <v>45</v>
      </c>
      <c r="J37" s="9" t="s">
        <v>45</v>
      </c>
      <c r="K37" s="9" t="s">
        <v>45</v>
      </c>
      <c r="L37" s="9" t="s">
        <v>45</v>
      </c>
      <c r="M37" s="9" t="s">
        <v>45</v>
      </c>
      <c r="N37" s="8" t="s">
        <v>45</v>
      </c>
      <c r="O37" s="8"/>
      <c r="P37" s="9"/>
      <c r="Q37" s="9"/>
      <c r="R37" s="9"/>
      <c r="S37" s="9"/>
    </row>
    <row r="38" spans="1:19" x14ac:dyDescent="0.25">
      <c r="A38" s="9"/>
      <c r="B38" s="9"/>
      <c r="C38" s="9"/>
      <c r="D38" s="9"/>
      <c r="E38" s="9"/>
      <c r="F38" s="9"/>
      <c r="G38" s="9"/>
      <c r="H38" s="9"/>
      <c r="I38" s="9" t="s">
        <v>45</v>
      </c>
      <c r="J38" s="9" t="s">
        <v>45</v>
      </c>
      <c r="K38" s="9" t="s">
        <v>45</v>
      </c>
      <c r="L38" s="9" t="s">
        <v>45</v>
      </c>
      <c r="M38" s="9" t="s">
        <v>45</v>
      </c>
      <c r="N38" s="8" t="s">
        <v>45</v>
      </c>
      <c r="O38" s="8"/>
      <c r="P38" s="9"/>
      <c r="Q38" s="9"/>
      <c r="R38" s="9"/>
      <c r="S38" s="9"/>
    </row>
    <row r="39" spans="1:19" x14ac:dyDescent="0.25">
      <c r="A39" s="9"/>
      <c r="B39" s="9"/>
      <c r="C39" s="9"/>
      <c r="D39" s="9"/>
      <c r="E39" s="9"/>
      <c r="F39" s="9"/>
      <c r="G39" s="9"/>
      <c r="H39" s="9"/>
      <c r="I39" s="9" t="s">
        <v>45</v>
      </c>
      <c r="J39" s="9" t="s">
        <v>45</v>
      </c>
      <c r="K39" s="9" t="s">
        <v>45</v>
      </c>
      <c r="L39" s="9" t="s">
        <v>45</v>
      </c>
      <c r="M39" s="9" t="s">
        <v>45</v>
      </c>
      <c r="N39" s="8" t="s">
        <v>45</v>
      </c>
      <c r="O39" s="8"/>
      <c r="P39" s="9"/>
      <c r="Q39" s="9"/>
      <c r="R39" s="9"/>
      <c r="S39" s="9"/>
    </row>
    <row r="40" spans="1:19" x14ac:dyDescent="0.25">
      <c r="A40" s="9"/>
      <c r="B40" s="9"/>
      <c r="C40" s="9"/>
      <c r="D40" s="9"/>
      <c r="E40" s="9"/>
      <c r="F40" s="9"/>
      <c r="G40" s="9"/>
      <c r="H40" s="9"/>
      <c r="I40" s="9" t="s">
        <v>45</v>
      </c>
      <c r="J40" s="9" t="s">
        <v>45</v>
      </c>
      <c r="K40" s="9" t="s">
        <v>45</v>
      </c>
      <c r="L40" s="9" t="s">
        <v>45</v>
      </c>
      <c r="M40" s="9" t="s">
        <v>45</v>
      </c>
      <c r="N40" s="8" t="s">
        <v>45</v>
      </c>
      <c r="O40" s="8"/>
      <c r="P40" s="9"/>
      <c r="Q40" s="9"/>
      <c r="R40" s="9"/>
      <c r="S40" s="9"/>
    </row>
    <row r="41" spans="1:19" x14ac:dyDescent="0.25">
      <c r="A41" s="9"/>
      <c r="B41" s="9"/>
      <c r="C41" s="9"/>
      <c r="D41" s="9"/>
      <c r="E41" s="9"/>
      <c r="F41" s="9"/>
      <c r="G41" s="9"/>
      <c r="H41" s="9"/>
      <c r="I41" s="9" t="s">
        <v>45</v>
      </c>
      <c r="J41" s="9" t="s">
        <v>45</v>
      </c>
      <c r="K41" s="9" t="s">
        <v>45</v>
      </c>
      <c r="L41" s="9" t="s">
        <v>45</v>
      </c>
      <c r="M41" s="9" t="s">
        <v>45</v>
      </c>
      <c r="N41" s="8" t="s">
        <v>45</v>
      </c>
      <c r="O41" s="8"/>
      <c r="P41" s="9"/>
      <c r="Q41" s="9"/>
      <c r="R41" s="9"/>
      <c r="S41" s="9"/>
    </row>
    <row r="42" spans="1:1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19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19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19" x14ac:dyDescent="0.25">
      <c r="A45" s="9"/>
      <c r="B45" s="9"/>
      <c r="C45" s="9" t="s">
        <v>43</v>
      </c>
      <c r="D45" s="9"/>
      <c r="E45" s="9"/>
      <c r="F45" s="9"/>
      <c r="G45" s="9"/>
      <c r="H45" s="9"/>
      <c r="I45" s="9" t="s">
        <v>46</v>
      </c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19" x14ac:dyDescent="0.25">
      <c r="A46" s="9"/>
      <c r="B46" s="8">
        <v>4.3750000000000009</v>
      </c>
      <c r="C46" s="8">
        <v>1.1426785900258878</v>
      </c>
      <c r="D46" s="9"/>
      <c r="E46" s="9"/>
      <c r="F46" s="9"/>
      <c r="G46" s="9"/>
      <c r="H46" s="9"/>
      <c r="I46" s="9" t="s">
        <v>41</v>
      </c>
      <c r="J46" s="9" t="s">
        <v>41</v>
      </c>
      <c r="K46" s="9" t="s">
        <v>41</v>
      </c>
      <c r="L46" s="9" t="s">
        <v>41</v>
      </c>
      <c r="M46" s="9" t="s">
        <v>41</v>
      </c>
      <c r="N46" s="8" t="s">
        <v>41</v>
      </c>
      <c r="O46" s="8"/>
      <c r="P46" s="9"/>
      <c r="Q46" s="9"/>
      <c r="R46" s="9"/>
      <c r="S46" s="9"/>
    </row>
    <row r="47" spans="1:19" x14ac:dyDescent="0.25">
      <c r="A47" s="9"/>
      <c r="B47" s="8">
        <v>0.30539369907705677</v>
      </c>
      <c r="C47" s="8">
        <v>3.2</v>
      </c>
      <c r="D47" s="9"/>
      <c r="E47" s="9"/>
      <c r="F47" s="9"/>
      <c r="G47" s="9"/>
      <c r="H47" s="9"/>
      <c r="I47" s="9" t="s">
        <v>41</v>
      </c>
      <c r="J47" s="9" t="s">
        <v>41</v>
      </c>
      <c r="K47" s="9" t="s">
        <v>41</v>
      </c>
      <c r="L47" s="9" t="s">
        <v>41</v>
      </c>
      <c r="M47" s="9" t="s">
        <v>41</v>
      </c>
      <c r="N47" s="8" t="s">
        <v>41</v>
      </c>
      <c r="O47" s="8"/>
      <c r="P47" s="9"/>
      <c r="Q47" s="9"/>
      <c r="R47" s="9"/>
      <c r="S47" s="9"/>
    </row>
    <row r="48" spans="1:19" x14ac:dyDescent="0.25">
      <c r="A48" s="9"/>
      <c r="B48" s="9"/>
      <c r="C48" s="9"/>
      <c r="D48" s="9"/>
      <c r="E48" s="9"/>
      <c r="F48" s="9"/>
      <c r="G48" s="9"/>
      <c r="H48" s="9"/>
      <c r="I48" s="9" t="s">
        <v>41</v>
      </c>
      <c r="J48" s="9" t="s">
        <v>41</v>
      </c>
      <c r="K48" s="9" t="s">
        <v>41</v>
      </c>
      <c r="L48" s="9" t="s">
        <v>41</v>
      </c>
      <c r="M48" s="9" t="s">
        <v>41</v>
      </c>
      <c r="N48" s="8" t="s">
        <v>41</v>
      </c>
      <c r="O48" s="8"/>
      <c r="P48" s="9"/>
      <c r="Q48" s="9"/>
      <c r="R48" s="9"/>
      <c r="S48" s="9"/>
    </row>
    <row r="49" spans="1:19" x14ac:dyDescent="0.25">
      <c r="A49" s="9"/>
      <c r="B49" s="9"/>
      <c r="C49" s="9"/>
      <c r="D49" s="9"/>
      <c r="E49" s="9"/>
      <c r="F49" s="9"/>
      <c r="G49" s="9"/>
      <c r="H49" s="9"/>
      <c r="I49" s="9" t="s">
        <v>41</v>
      </c>
      <c r="J49" s="9" t="s">
        <v>41</v>
      </c>
      <c r="K49" s="9" t="s">
        <v>41</v>
      </c>
      <c r="L49" s="9" t="s">
        <v>41</v>
      </c>
      <c r="M49" s="9" t="s">
        <v>41</v>
      </c>
      <c r="N49" s="8" t="s">
        <v>41</v>
      </c>
      <c r="O49" s="8"/>
      <c r="P49" s="9"/>
      <c r="Q49" s="9"/>
      <c r="R49" s="9"/>
      <c r="S49" s="9"/>
    </row>
    <row r="50" spans="1:19" x14ac:dyDescent="0.25">
      <c r="A50" s="9"/>
      <c r="B50" s="9"/>
      <c r="C50" s="9"/>
      <c r="D50" s="9"/>
      <c r="E50" s="9"/>
      <c r="F50" s="9"/>
      <c r="G50" s="9"/>
      <c r="H50" s="9"/>
      <c r="I50" s="9" t="s">
        <v>41</v>
      </c>
      <c r="J50" s="9" t="s">
        <v>41</v>
      </c>
      <c r="K50" s="9" t="s">
        <v>41</v>
      </c>
      <c r="L50" s="9" t="s">
        <v>41</v>
      </c>
      <c r="M50" s="9" t="s">
        <v>41</v>
      </c>
      <c r="N50" s="8" t="s">
        <v>41</v>
      </c>
      <c r="O50" s="8"/>
      <c r="P50" s="9"/>
      <c r="Q50" s="9"/>
      <c r="R50" s="9"/>
      <c r="S50" s="9"/>
    </row>
    <row r="51" spans="1:19" x14ac:dyDescent="0.25">
      <c r="A51" s="9"/>
      <c r="B51" s="9"/>
      <c r="C51" s="9"/>
      <c r="D51" s="9"/>
      <c r="E51" s="9"/>
      <c r="F51" s="9"/>
      <c r="G51" s="9"/>
      <c r="H51" s="9"/>
      <c r="I51" s="9" t="s">
        <v>41</v>
      </c>
      <c r="J51" s="9" t="s">
        <v>41</v>
      </c>
      <c r="K51" s="9" t="s">
        <v>41</v>
      </c>
      <c r="L51" s="9" t="s">
        <v>41</v>
      </c>
      <c r="M51" s="9" t="s">
        <v>41</v>
      </c>
      <c r="N51" s="8" t="s">
        <v>41</v>
      </c>
      <c r="O51" s="8"/>
      <c r="P51" s="9"/>
      <c r="Q51" s="9"/>
      <c r="R51" s="9"/>
      <c r="S51" s="9"/>
    </row>
    <row r="52" spans="1:1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8"/>
      <c r="O52" s="8"/>
      <c r="P52" s="9"/>
      <c r="Q52" s="9"/>
      <c r="R52" s="9"/>
      <c r="S52" s="9"/>
    </row>
    <row r="53" spans="1:19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8"/>
      <c r="O53" s="8"/>
      <c r="P53" s="9"/>
      <c r="Q53" s="9"/>
      <c r="R53" s="9"/>
      <c r="S53" s="9"/>
    </row>
    <row r="54" spans="1:19" x14ac:dyDescent="0.2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P54" s="9"/>
      <c r="Q54" s="9"/>
      <c r="R54" s="9"/>
      <c r="S54" s="9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54"/>
  <sheetViews>
    <sheetView zoomScale="90" zoomScaleNormal="90" workbookViewId="0">
      <pane ySplit="12816" topLeftCell="A37"/>
      <selection activeCell="D6" sqref="D6"/>
      <selection pane="bottomLeft" activeCell="A29" sqref="A29"/>
    </sheetView>
  </sheetViews>
  <sheetFormatPr defaultRowHeight="13.2" x14ac:dyDescent="0.25"/>
  <cols>
    <col min="1" max="1" width="7.5546875" customWidth="1"/>
    <col min="3" max="3" width="12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.33203125" customWidth="1"/>
    <col min="19" max="19" width="9.44140625" bestFit="1" customWidth="1"/>
    <col min="20" max="20" width="14.109375" customWidth="1"/>
    <col min="21" max="33" width="9.44140625" bestFit="1" customWidth="1"/>
  </cols>
  <sheetData>
    <row r="1" spans="1:26" ht="18.75" customHeight="1" x14ac:dyDescent="0.3">
      <c r="A1" s="97" t="s">
        <v>36</v>
      </c>
      <c r="B1" s="98" t="s">
        <v>37</v>
      </c>
      <c r="C1" s="4"/>
      <c r="D1" s="72"/>
      <c r="E1" s="73"/>
      <c r="F1" s="93"/>
      <c r="G1" s="94"/>
      <c r="I1" s="9"/>
      <c r="J1" s="9"/>
      <c r="K1" s="9"/>
      <c r="L1" s="9"/>
      <c r="M1" s="9"/>
      <c r="N1" s="9"/>
      <c r="Q1" s="9"/>
      <c r="R1" s="9"/>
      <c r="S1" s="9"/>
    </row>
    <row r="2" spans="1:26" ht="18" thickBot="1" x14ac:dyDescent="0.35">
      <c r="A2" s="4"/>
      <c r="B2" s="92" t="s">
        <v>21</v>
      </c>
      <c r="C2" s="91"/>
      <c r="D2" s="122" t="s">
        <v>41</v>
      </c>
      <c r="E2" s="25"/>
      <c r="F2" s="25"/>
      <c r="G2" s="25"/>
      <c r="H2" s="59"/>
      <c r="I2" s="99" t="s">
        <v>40</v>
      </c>
      <c r="J2" s="60"/>
      <c r="K2" s="9"/>
      <c r="L2" s="9"/>
      <c r="M2" s="9"/>
      <c r="N2" s="9"/>
      <c r="O2" s="9"/>
      <c r="P2" s="9"/>
      <c r="Q2" s="9"/>
      <c r="R2" s="9"/>
      <c r="S2" s="9"/>
    </row>
    <row r="3" spans="1:26" ht="15.6" thickBot="1" x14ac:dyDescent="0.3">
      <c r="A3" s="87">
        <v>2</v>
      </c>
      <c r="B3" s="89" t="s">
        <v>27</v>
      </c>
      <c r="C3" s="88"/>
      <c r="D3" s="32"/>
      <c r="E3" s="23"/>
      <c r="F3" s="19" t="s">
        <v>20</v>
      </c>
      <c r="G3" s="23"/>
      <c r="H3" s="23"/>
      <c r="I3" s="100"/>
      <c r="J3" s="75">
        <v>94.603363420859864</v>
      </c>
      <c r="K3" s="124"/>
      <c r="L3" s="125"/>
      <c r="M3" s="126"/>
      <c r="N3" s="126"/>
      <c r="O3" s="127"/>
      <c r="P3" s="127"/>
      <c r="Q3" s="9"/>
      <c r="R3" s="9"/>
      <c r="S3" s="9"/>
    </row>
    <row r="4" spans="1:26" x14ac:dyDescent="0.25">
      <c r="A4" s="2"/>
      <c r="B4" s="2"/>
      <c r="C4" s="2"/>
      <c r="D4" s="33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7" t="s">
        <v>35</v>
      </c>
      <c r="J4" s="85"/>
      <c r="K4" s="139" t="s">
        <v>85</v>
      </c>
      <c r="L4" s="128"/>
      <c r="M4" s="128"/>
      <c r="N4" s="128"/>
      <c r="O4" s="128"/>
      <c r="P4" s="129"/>
      <c r="Q4" s="128"/>
      <c r="R4" s="7"/>
      <c r="S4" s="63"/>
      <c r="T4" s="13"/>
      <c r="U4" s="13"/>
      <c r="V4" s="1"/>
      <c r="W4" s="1"/>
      <c r="X4" s="1"/>
    </row>
    <row r="5" spans="1:26" x14ac:dyDescent="0.25">
      <c r="A5" s="2" t="s">
        <v>0</v>
      </c>
      <c r="B5" s="35" t="s">
        <v>3</v>
      </c>
      <c r="C5" s="16" t="s">
        <v>7</v>
      </c>
      <c r="D5" s="39" t="s">
        <v>2</v>
      </c>
      <c r="E5" s="37" t="s">
        <v>30</v>
      </c>
      <c r="F5" s="37" t="s">
        <v>30</v>
      </c>
      <c r="G5" s="38" t="s">
        <v>17</v>
      </c>
      <c r="H5" s="16" t="s">
        <v>34</v>
      </c>
      <c r="I5" s="118" t="s">
        <v>38</v>
      </c>
      <c r="J5" s="49" t="s">
        <v>39</v>
      </c>
      <c r="K5" s="74">
        <f t="shared" ref="K5:P5" si="0">IF(COLUMN(K5)&lt;=nt+10,COLUMN(K5)-10,IF(J5=nt,"     ",""))</f>
        <v>1</v>
      </c>
      <c r="L5" s="28">
        <f t="shared" si="0"/>
        <v>2</v>
      </c>
      <c r="M5" s="28" t="str">
        <f t="shared" si="0"/>
        <v xml:space="preserve">     </v>
      </c>
      <c r="N5" s="28" t="str">
        <f t="shared" si="0"/>
        <v/>
      </c>
      <c r="O5" s="28" t="str">
        <f t="shared" si="0"/>
        <v/>
      </c>
      <c r="P5" s="28" t="str">
        <f t="shared" si="0"/>
        <v/>
      </c>
      <c r="Q5" s="128"/>
      <c r="R5" s="7"/>
      <c r="S5" s="9"/>
      <c r="T5" s="13"/>
      <c r="U5" s="13"/>
      <c r="V5" s="1"/>
      <c r="W5" s="1"/>
      <c r="X5" s="1"/>
    </row>
    <row r="6" spans="1:26" x14ac:dyDescent="0.25">
      <c r="A6" s="3">
        <f t="shared" ref="A6:A11" si="1">IF(ROW(A6)&lt;=nt+5,ROW(A6)-5,IF(A5=nt,"     ",""))</f>
        <v>1</v>
      </c>
      <c r="B6" s="137" t="s">
        <v>80</v>
      </c>
      <c r="C6" s="137" t="s">
        <v>83</v>
      </c>
      <c r="D6" s="34">
        <v>800</v>
      </c>
      <c r="E6" s="5">
        <v>0.3</v>
      </c>
      <c r="F6" s="5">
        <v>0.5</v>
      </c>
      <c r="G6" s="5">
        <v>0</v>
      </c>
      <c r="H6" s="5">
        <v>0.2</v>
      </c>
      <c r="I6" s="47">
        <f t="shared" ref="I6:I11" si="2">IF($A6&lt;=nt,SQRT(E6)*D6," ")</f>
        <v>438.17804600413285</v>
      </c>
      <c r="J6" s="101">
        <f t="shared" ref="J6:J11" si="3">IF($A6&lt;=nt,H6*I6," ")</f>
        <v>87.635609200826579</v>
      </c>
      <c r="K6" s="134">
        <v>154013.41898103053</v>
      </c>
      <c r="L6" s="134">
        <v>-696.83262485065529</v>
      </c>
      <c r="M6" s="134" t="s">
        <v>44</v>
      </c>
      <c r="N6" s="134" t="s">
        <v>44</v>
      </c>
      <c r="O6" s="134" t="s">
        <v>44</v>
      </c>
      <c r="P6" s="101" t="s">
        <v>44</v>
      </c>
      <c r="Q6" s="130"/>
      <c r="R6" s="7"/>
      <c r="S6" s="8"/>
      <c r="T6" s="13"/>
      <c r="U6" s="12"/>
      <c r="V6" s="14"/>
      <c r="W6" s="1"/>
      <c r="X6" s="1"/>
    </row>
    <row r="7" spans="1:26" x14ac:dyDescent="0.25">
      <c r="A7" s="3">
        <f t="shared" si="1"/>
        <v>2</v>
      </c>
      <c r="B7" s="137" t="s">
        <v>84</v>
      </c>
      <c r="C7" s="137" t="s">
        <v>86</v>
      </c>
      <c r="D7" s="34">
        <v>46</v>
      </c>
      <c r="E7" s="5">
        <v>0.03</v>
      </c>
      <c r="F7" s="5">
        <v>0.03</v>
      </c>
      <c r="G7" s="5">
        <v>0</v>
      </c>
      <c r="H7" s="138">
        <v>8</v>
      </c>
      <c r="I7" s="47">
        <f t="shared" si="2"/>
        <v>7.9674337148168357</v>
      </c>
      <c r="J7" s="101">
        <f t="shared" si="3"/>
        <v>63.739469718534686</v>
      </c>
      <c r="K7" s="134">
        <v>-0.66653045811225553</v>
      </c>
      <c r="L7" s="134">
        <v>7.096731746041991</v>
      </c>
      <c r="M7" s="134" t="s">
        <v>44</v>
      </c>
      <c r="N7" s="134" t="s">
        <v>44</v>
      </c>
      <c r="O7" s="134" t="s">
        <v>44</v>
      </c>
      <c r="P7" s="101" t="s">
        <v>44</v>
      </c>
      <c r="Q7" s="130"/>
      <c r="R7" s="7"/>
      <c r="S7" s="8"/>
      <c r="T7" s="13"/>
      <c r="U7" s="12"/>
      <c r="V7" s="14"/>
      <c r="W7" s="1"/>
      <c r="X7" s="1"/>
    </row>
    <row r="8" spans="1:26" x14ac:dyDescent="0.25">
      <c r="A8" s="3" t="str">
        <f t="shared" si="1"/>
        <v xml:space="preserve">     </v>
      </c>
      <c r="B8" s="5"/>
      <c r="C8" s="5"/>
      <c r="D8" s="34"/>
      <c r="E8" s="5"/>
      <c r="F8" s="5"/>
      <c r="G8" s="5"/>
      <c r="H8" s="5"/>
      <c r="I8" s="47" t="str">
        <f t="shared" si="2"/>
        <v xml:space="preserve"> </v>
      </c>
      <c r="J8" s="101" t="str">
        <f t="shared" si="3"/>
        <v xml:space="preserve"> </v>
      </c>
      <c r="K8" s="134" t="s">
        <v>44</v>
      </c>
      <c r="L8" s="134" t="s">
        <v>44</v>
      </c>
      <c r="M8" s="134" t="s">
        <v>44</v>
      </c>
      <c r="N8" s="134" t="s">
        <v>44</v>
      </c>
      <c r="O8" s="134" t="s">
        <v>44</v>
      </c>
      <c r="P8" s="101" t="s">
        <v>44</v>
      </c>
      <c r="Q8" s="130"/>
      <c r="R8" s="7"/>
      <c r="S8" s="8"/>
      <c r="T8" s="13"/>
      <c r="U8" s="12"/>
      <c r="V8" s="14"/>
      <c r="W8" s="1"/>
      <c r="X8" s="1"/>
    </row>
    <row r="9" spans="1:26" x14ac:dyDescent="0.25">
      <c r="A9" s="3" t="str">
        <f t="shared" si="1"/>
        <v/>
      </c>
      <c r="B9" s="5"/>
      <c r="C9" s="5"/>
      <c r="D9" s="34"/>
      <c r="E9" s="5"/>
      <c r="F9" s="5"/>
      <c r="G9" s="5"/>
      <c r="H9" s="5"/>
      <c r="I9" s="47" t="str">
        <f t="shared" si="2"/>
        <v xml:space="preserve"> </v>
      </c>
      <c r="J9" s="101" t="str">
        <f t="shared" si="3"/>
        <v xml:space="preserve"> </v>
      </c>
      <c r="K9" s="134" t="s">
        <v>44</v>
      </c>
      <c r="L9" s="134" t="s">
        <v>44</v>
      </c>
      <c r="M9" s="134" t="s">
        <v>44</v>
      </c>
      <c r="N9" s="134" t="s">
        <v>44</v>
      </c>
      <c r="O9" s="134" t="s">
        <v>44</v>
      </c>
      <c r="P9" s="101" t="s">
        <v>44</v>
      </c>
      <c r="Q9" s="130"/>
      <c r="R9" s="7"/>
      <c r="S9" s="8"/>
      <c r="T9" s="13"/>
      <c r="U9" s="12"/>
      <c r="V9" s="14"/>
      <c r="W9" s="1"/>
      <c r="X9" s="1"/>
    </row>
    <row r="10" spans="1:26" x14ac:dyDescent="0.25">
      <c r="A10" s="3" t="str">
        <f t="shared" si="1"/>
        <v/>
      </c>
      <c r="B10" s="5"/>
      <c r="C10" s="5"/>
      <c r="D10" s="34"/>
      <c r="E10" s="5"/>
      <c r="F10" s="5"/>
      <c r="G10" s="5"/>
      <c r="H10" s="5"/>
      <c r="I10" s="47" t="str">
        <f t="shared" si="2"/>
        <v xml:space="preserve"> </v>
      </c>
      <c r="J10" s="101" t="str">
        <f t="shared" si="3"/>
        <v xml:space="preserve"> </v>
      </c>
      <c r="K10" s="134" t="s">
        <v>44</v>
      </c>
      <c r="L10" s="134" t="s">
        <v>44</v>
      </c>
      <c r="M10" s="134" t="s">
        <v>44</v>
      </c>
      <c r="N10" s="134" t="s">
        <v>44</v>
      </c>
      <c r="O10" s="134" t="s">
        <v>44</v>
      </c>
      <c r="P10" s="101" t="s">
        <v>44</v>
      </c>
      <c r="Q10" s="130"/>
      <c r="R10" s="7"/>
      <c r="S10" s="8"/>
      <c r="T10" s="13"/>
      <c r="U10" s="12"/>
      <c r="V10" s="14"/>
      <c r="W10" s="1"/>
      <c r="X10" s="1"/>
      <c r="Z10" t="str">
        <f>IF(COLUMN(Z10)&lt;=nt+3,COLUMN(Z10)-3,IF(Y10=nt,"Correlation structure",""))</f>
        <v/>
      </c>
    </row>
    <row r="11" spans="1:26" x14ac:dyDescent="0.25">
      <c r="A11" s="16" t="str">
        <f t="shared" si="1"/>
        <v/>
      </c>
      <c r="B11" s="36"/>
      <c r="C11" s="5"/>
      <c r="D11" s="34"/>
      <c r="E11" s="5"/>
      <c r="F11" s="5"/>
      <c r="G11" s="5"/>
      <c r="H11" s="5"/>
      <c r="I11" s="47" t="str">
        <f t="shared" si="2"/>
        <v xml:space="preserve"> </v>
      </c>
      <c r="J11" s="101" t="str">
        <f t="shared" si="3"/>
        <v xml:space="preserve"> </v>
      </c>
      <c r="K11" s="132" t="s">
        <v>44</v>
      </c>
      <c r="L11" s="132" t="s">
        <v>44</v>
      </c>
      <c r="M11" s="132" t="s">
        <v>44</v>
      </c>
      <c r="N11" s="132" t="s">
        <v>44</v>
      </c>
      <c r="O11" s="132" t="s">
        <v>44</v>
      </c>
      <c r="P11" s="133" t="s">
        <v>44</v>
      </c>
      <c r="Q11" s="128"/>
      <c r="R11" s="7"/>
      <c r="S11" s="9"/>
      <c r="T11" s="13"/>
      <c r="U11" s="12"/>
      <c r="V11" s="14"/>
      <c r="W11" s="1"/>
      <c r="X11" s="1"/>
    </row>
    <row r="12" spans="1:26" x14ac:dyDescent="0.25">
      <c r="A12" s="1"/>
      <c r="B12" s="7"/>
      <c r="C12" s="30"/>
      <c r="D12" s="31" t="s">
        <v>25</v>
      </c>
      <c r="E12" s="30"/>
      <c r="F12" s="30"/>
      <c r="G12" s="30"/>
      <c r="H12" s="42"/>
      <c r="I12" s="41"/>
      <c r="J12" s="66" t="s">
        <v>26</v>
      </c>
      <c r="K12" s="40"/>
      <c r="L12" s="23"/>
      <c r="M12" s="23"/>
      <c r="N12" s="76"/>
      <c r="O12" s="62"/>
      <c r="P12" s="7"/>
      <c r="Q12" s="7"/>
      <c r="R12" s="7"/>
      <c r="S12" s="9"/>
      <c r="T12" s="13"/>
      <c r="U12" s="12"/>
      <c r="V12" s="14"/>
      <c r="W12" s="1"/>
      <c r="X12" s="1"/>
    </row>
    <row r="13" spans="1:26" x14ac:dyDescent="0.25">
      <c r="A13" s="21" t="s">
        <v>1</v>
      </c>
      <c r="B13" s="22"/>
      <c r="C13" s="20">
        <f t="shared" ref="C13:H13" si="4">IF(COLUMN(C13)&lt;=nt+2,COLUMN(C13)-2,IF(B13=nt,"Phenotypic",""))</f>
        <v>1</v>
      </c>
      <c r="D13" s="20">
        <f t="shared" si="4"/>
        <v>2</v>
      </c>
      <c r="E13" s="20" t="str">
        <f t="shared" si="4"/>
        <v>Phenotypic</v>
      </c>
      <c r="F13" s="20" t="str">
        <f t="shared" si="4"/>
        <v/>
      </c>
      <c r="G13" s="20" t="str">
        <f t="shared" si="4"/>
        <v/>
      </c>
      <c r="H13" s="43" t="str">
        <f t="shared" si="4"/>
        <v/>
      </c>
      <c r="I13" s="86" t="s">
        <v>11</v>
      </c>
      <c r="J13" s="16" t="s">
        <v>13</v>
      </c>
      <c r="K13" s="16" t="s">
        <v>12</v>
      </c>
      <c r="L13" s="16" t="s">
        <v>14</v>
      </c>
      <c r="M13" s="16" t="s">
        <v>15</v>
      </c>
      <c r="N13" s="77" t="s">
        <v>16</v>
      </c>
      <c r="O13" s="7"/>
      <c r="P13" s="7"/>
      <c r="Q13" s="7"/>
      <c r="R13" s="7"/>
      <c r="S13" s="9"/>
      <c r="T13" s="13"/>
      <c r="U13" s="12"/>
      <c r="V13" s="14"/>
      <c r="W13" s="1"/>
      <c r="X13" s="1"/>
    </row>
    <row r="14" spans="1:26" x14ac:dyDescent="0.25">
      <c r="A14" s="3" t="str">
        <f>IF(ROW(A14)&lt;=nt+22,$B6,IF(A13=nt," Genetic Correlation   ",""))</f>
        <v>Milk</v>
      </c>
      <c r="B14" s="20">
        <f t="shared" ref="B14:B20" si="5">IF(ROW(B14)&lt;=nt+13,ROW(B14)-13,IF(B13=nt," Genetic   ",""))</f>
        <v>1</v>
      </c>
      <c r="C14" s="4">
        <v>1</v>
      </c>
      <c r="D14" s="4">
        <v>-0.1</v>
      </c>
      <c r="E14" s="4"/>
      <c r="F14" s="4"/>
      <c r="G14" s="4"/>
      <c r="H14" s="4"/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78">
        <v>50</v>
      </c>
      <c r="O14" s="62"/>
      <c r="P14" s="7"/>
      <c r="Q14" s="7"/>
      <c r="R14" s="7"/>
      <c r="S14" s="9"/>
      <c r="T14" s="13"/>
      <c r="U14" s="12"/>
      <c r="V14" s="14"/>
      <c r="W14" s="1"/>
      <c r="X14" s="1"/>
    </row>
    <row r="15" spans="1:26" x14ac:dyDescent="0.25">
      <c r="A15" s="3" t="str">
        <f>IF(ROW(A15)&lt;=nt+22,$B7,IF(A14=nt," Genetic Correlation   ",""))</f>
        <v>Fertility</v>
      </c>
      <c r="B15" s="20">
        <f t="shared" si="5"/>
        <v>2</v>
      </c>
      <c r="C15" s="4">
        <v>-0.25</v>
      </c>
      <c r="D15" s="4">
        <v>1</v>
      </c>
      <c r="E15" s="4"/>
      <c r="F15" s="4"/>
      <c r="G15" s="4"/>
      <c r="H15" s="4"/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78">
        <v>10</v>
      </c>
      <c r="O15" s="7"/>
      <c r="P15" s="7"/>
      <c r="Q15" s="7"/>
      <c r="R15" s="7"/>
      <c r="S15" s="9"/>
      <c r="T15" s="13"/>
      <c r="U15" s="12"/>
      <c r="V15" s="14"/>
      <c r="W15" s="1"/>
      <c r="X15" s="1"/>
    </row>
    <row r="16" spans="1:26" x14ac:dyDescent="0.25">
      <c r="A16" s="3">
        <f>IF(ROW(A16)&lt;=nt+22,$B8,IF(A15=nt," Genetic Correlation   ",""))</f>
        <v>0</v>
      </c>
      <c r="B16" s="20" t="str">
        <f t="shared" si="5"/>
        <v xml:space="preserve"> Genetic   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40"/>
      <c r="O16" s="7"/>
      <c r="P16" s="7"/>
      <c r="Q16" s="7"/>
      <c r="R16" s="7"/>
      <c r="S16" s="9"/>
      <c r="T16" s="13"/>
      <c r="U16" s="12"/>
      <c r="V16" s="14"/>
      <c r="W16" s="1"/>
      <c r="X16" s="1"/>
    </row>
    <row r="17" spans="1:24" x14ac:dyDescent="0.25">
      <c r="A17" s="3">
        <f>IF(ROW(A17)&lt;=nt+22,$B9,IF(A16=nt," Genetic Correlation   ",""))</f>
        <v>0</v>
      </c>
      <c r="B17" s="20" t="str">
        <f t="shared" si="5"/>
        <v/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140"/>
      <c r="O17" s="7"/>
      <c r="P17" s="7"/>
      <c r="Q17" s="7"/>
      <c r="R17" s="7"/>
      <c r="S17" s="9"/>
      <c r="T17" s="13"/>
      <c r="U17" s="12"/>
      <c r="V17" s="14"/>
      <c r="W17" s="1"/>
      <c r="X17" s="1"/>
    </row>
    <row r="18" spans="1:24" x14ac:dyDescent="0.25">
      <c r="A18" s="18">
        <f>IF(ROW(A18)&lt;=nt+22,$B10,IF(A17=nt," Genetic Correlation   ",""))</f>
        <v>0</v>
      </c>
      <c r="B18" s="44" t="str">
        <f t="shared" si="5"/>
        <v/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140"/>
      <c r="O18" s="62"/>
      <c r="P18" s="7"/>
      <c r="Q18" s="7"/>
      <c r="R18" s="7"/>
      <c r="S18" s="9"/>
      <c r="T18" s="13"/>
      <c r="U18" s="12"/>
      <c r="V18" s="14"/>
      <c r="W18" s="1"/>
      <c r="X18" s="1"/>
    </row>
    <row r="19" spans="1:24" ht="12" customHeight="1" x14ac:dyDescent="0.25">
      <c r="A19" s="16" t="str">
        <f>IF(ROW(A19)&lt;=nt+13,$B11,IF(A18=nt," Genetic Correlation   ",""))</f>
        <v/>
      </c>
      <c r="B19" s="45" t="str">
        <f t="shared" si="5"/>
        <v/>
      </c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141"/>
      <c r="O19" s="62"/>
      <c r="P19" s="7"/>
      <c r="Q19" s="7"/>
      <c r="R19" s="7"/>
      <c r="S19" s="9"/>
      <c r="T19" s="13"/>
      <c r="U19" s="12"/>
      <c r="V19" s="14"/>
      <c r="W19" s="1"/>
      <c r="X19" s="1"/>
    </row>
    <row r="20" spans="1:24" ht="15" customHeight="1" x14ac:dyDescent="0.25">
      <c r="A20" s="58"/>
      <c r="B20" s="116" t="str">
        <f t="shared" si="5"/>
        <v/>
      </c>
      <c r="C20" s="119" t="s">
        <v>41</v>
      </c>
      <c r="D20" s="119" t="s">
        <v>41</v>
      </c>
      <c r="E20" s="119" t="s">
        <v>41</v>
      </c>
      <c r="F20" s="58"/>
      <c r="G20" s="58"/>
      <c r="H20" s="58"/>
      <c r="I20" s="58"/>
      <c r="J20" s="58"/>
      <c r="K20" s="58"/>
      <c r="L20" s="58"/>
      <c r="M20" s="58"/>
      <c r="N20" s="58"/>
      <c r="O20" s="62"/>
      <c r="P20" s="7"/>
      <c r="Q20" s="7"/>
      <c r="R20" s="7"/>
      <c r="S20" s="9"/>
      <c r="T20" s="13"/>
      <c r="U20" s="12"/>
      <c r="V20" s="14"/>
      <c r="W20" s="1"/>
      <c r="X20" s="1"/>
    </row>
    <row r="21" spans="1:24" x14ac:dyDescent="0.25">
      <c r="A21" s="90"/>
      <c r="B21" s="6"/>
      <c r="C21" s="90"/>
      <c r="D21" s="6"/>
      <c r="E21" s="6"/>
      <c r="F21" s="115" t="s">
        <v>10</v>
      </c>
      <c r="G21" s="114" t="s">
        <v>8</v>
      </c>
      <c r="H21" s="6"/>
      <c r="I21" s="6"/>
      <c r="J21" s="6"/>
      <c r="K21" s="6"/>
      <c r="L21" s="6"/>
      <c r="M21" s="6"/>
      <c r="N21" s="48"/>
      <c r="O21" s="62"/>
      <c r="P21" s="7"/>
      <c r="Q21" s="7"/>
      <c r="R21" s="7"/>
      <c r="S21" s="9"/>
    </row>
    <row r="22" spans="1:24" ht="17.399999999999999" x14ac:dyDescent="0.3">
      <c r="A22" s="65" t="s">
        <v>28</v>
      </c>
      <c r="B22" s="64"/>
      <c r="C22" s="95" t="s">
        <v>44</v>
      </c>
      <c r="D22" s="6"/>
      <c r="E22" s="6"/>
      <c r="F22" s="67">
        <v>66.218299521097734</v>
      </c>
      <c r="G22" s="123">
        <v>0.69995713816763439</v>
      </c>
      <c r="H22" s="6"/>
      <c r="I22" s="6"/>
      <c r="J22" s="6"/>
      <c r="K22" s="6"/>
      <c r="L22" s="6"/>
      <c r="M22" s="6"/>
      <c r="N22" s="61"/>
      <c r="O22" s="9"/>
      <c r="P22" s="9"/>
      <c r="Q22" s="9"/>
      <c r="R22" s="9"/>
      <c r="S22" s="9"/>
    </row>
    <row r="23" spans="1:24" ht="15.6" x14ac:dyDescent="0.3">
      <c r="A23" s="11"/>
      <c r="B23" s="53" t="s">
        <v>9</v>
      </c>
      <c r="C23" s="96" t="s">
        <v>29</v>
      </c>
      <c r="D23" s="106"/>
      <c r="E23" s="110" t="s">
        <v>6</v>
      </c>
      <c r="F23" s="102"/>
      <c r="G23" s="107" t="s">
        <v>31</v>
      </c>
      <c r="H23" s="79"/>
      <c r="I23" s="68"/>
      <c r="J23" s="54"/>
      <c r="K23" s="55" t="s">
        <v>24</v>
      </c>
      <c r="L23" s="56"/>
      <c r="M23" s="54"/>
      <c r="N23" s="57"/>
      <c r="O23" s="9"/>
      <c r="P23" s="9"/>
      <c r="Q23" s="9"/>
      <c r="R23" s="9"/>
      <c r="S23" s="9"/>
    </row>
    <row r="24" spans="1:24" x14ac:dyDescent="0.25">
      <c r="A24" s="15"/>
      <c r="B24" s="15"/>
      <c r="C24" s="74" t="s">
        <v>2</v>
      </c>
      <c r="D24" s="86"/>
      <c r="E24" s="16"/>
      <c r="F24" s="112" t="s">
        <v>39</v>
      </c>
      <c r="G24" s="74" t="s">
        <v>22</v>
      </c>
      <c r="H24" s="49" t="s">
        <v>23</v>
      </c>
      <c r="I24" s="69" t="s">
        <v>11</v>
      </c>
      <c r="J24" s="26" t="s">
        <v>13</v>
      </c>
      <c r="K24" s="26" t="s">
        <v>12</v>
      </c>
      <c r="L24" s="26" t="s">
        <v>14</v>
      </c>
      <c r="M24" s="27" t="s">
        <v>15</v>
      </c>
      <c r="N24" s="50" t="s">
        <v>16</v>
      </c>
      <c r="O24" s="9"/>
      <c r="P24" s="9"/>
      <c r="Q24" s="9"/>
      <c r="R24" s="9"/>
      <c r="S24" s="9"/>
    </row>
    <row r="25" spans="1:24" x14ac:dyDescent="0.25">
      <c r="A25" s="29">
        <f t="shared" ref="A25:A30" si="6">A6</f>
        <v>1</v>
      </c>
      <c r="B25" s="82" t="str">
        <f t="shared" ref="B25:B30" si="7">IF(ROW(A6)&lt;=nt+5,B6,IF(A5=nt,"     ",""))</f>
        <v>Milk</v>
      </c>
      <c r="C25" s="47">
        <f t="shared" ref="C25:C30" si="8">IF($A6&lt;=nt,SQRT(E6)*D6," ")</f>
        <v>438.17804600413285</v>
      </c>
      <c r="D25" s="104">
        <v>380.98264346644834</v>
      </c>
      <c r="E25" s="111" t="str">
        <f t="shared" ref="E25:E30" si="9">IF(ROW(A6)&lt;=nt+5,C6,IF(A5=nt,"     ",""))</f>
        <v>kg/lact</v>
      </c>
      <c r="F25" s="103">
        <v>76.196528693289665</v>
      </c>
      <c r="G25" s="108">
        <v>0.89563007087722002</v>
      </c>
      <c r="H25" s="80">
        <v>0.89562215103979825</v>
      </c>
      <c r="I25" s="70" t="s">
        <v>19</v>
      </c>
      <c r="J25" s="17" t="s">
        <v>19</v>
      </c>
      <c r="K25" s="17" t="s">
        <v>19</v>
      </c>
      <c r="L25" s="17" t="s">
        <v>19</v>
      </c>
      <c r="M25" s="17" t="s">
        <v>19</v>
      </c>
      <c r="N25" s="51">
        <v>0.26769392681157422</v>
      </c>
      <c r="O25" s="9"/>
      <c r="P25" s="9"/>
      <c r="Q25" s="7"/>
      <c r="R25" s="9"/>
      <c r="S25" s="9"/>
    </row>
    <row r="26" spans="1:24" x14ac:dyDescent="0.25">
      <c r="A26" s="29">
        <f t="shared" si="6"/>
        <v>2</v>
      </c>
      <c r="B26" s="83" t="str">
        <f t="shared" si="7"/>
        <v>Fertility</v>
      </c>
      <c r="C26" s="47">
        <f t="shared" si="8"/>
        <v>7.9674337148168357</v>
      </c>
      <c r="D26" s="104">
        <v>-1.2472786465239922</v>
      </c>
      <c r="E26" s="111" t="str">
        <f t="shared" si="9"/>
        <v>%</v>
      </c>
      <c r="F26" s="104">
        <v>-9.9782291721919378</v>
      </c>
      <c r="G26" s="108">
        <v>0.33435724308844045</v>
      </c>
      <c r="H26" s="80">
        <v>0.26506152350203105</v>
      </c>
      <c r="I26" s="70" t="s">
        <v>19</v>
      </c>
      <c r="J26" s="17" t="s">
        <v>19</v>
      </c>
      <c r="K26" s="17" t="s">
        <v>19</v>
      </c>
      <c r="L26" s="17" t="s">
        <v>19</v>
      </c>
      <c r="M26" s="113" t="s">
        <v>19</v>
      </c>
      <c r="N26" s="51">
        <v>1.0783691676693627</v>
      </c>
      <c r="O26" s="9"/>
      <c r="P26" s="9"/>
      <c r="Q26" s="9"/>
      <c r="R26" s="9"/>
      <c r="S26" s="9"/>
    </row>
    <row r="27" spans="1:24" x14ac:dyDescent="0.25">
      <c r="A27" s="29" t="str">
        <f t="shared" si="6"/>
        <v xml:space="preserve">     </v>
      </c>
      <c r="B27" s="83" t="str">
        <f t="shared" si="7"/>
        <v xml:space="preserve">     </v>
      </c>
      <c r="C27" s="47" t="str">
        <f t="shared" si="8"/>
        <v xml:space="preserve"> </v>
      </c>
      <c r="D27" s="104" t="s">
        <v>44</v>
      </c>
      <c r="E27" s="111" t="str">
        <f t="shared" si="9"/>
        <v xml:space="preserve">     </v>
      </c>
      <c r="F27" s="104" t="s">
        <v>44</v>
      </c>
      <c r="G27" s="108" t="s">
        <v>44</v>
      </c>
      <c r="H27" s="80" t="s">
        <v>44</v>
      </c>
      <c r="I27" s="70" t="s">
        <v>44</v>
      </c>
      <c r="J27" s="17" t="s">
        <v>44</v>
      </c>
      <c r="K27" s="17" t="s">
        <v>44</v>
      </c>
      <c r="L27" s="17" t="s">
        <v>44</v>
      </c>
      <c r="M27" s="17" t="s">
        <v>44</v>
      </c>
      <c r="N27" s="51" t="s">
        <v>44</v>
      </c>
      <c r="O27" s="9"/>
      <c r="P27" s="9"/>
      <c r="Q27" s="9"/>
      <c r="R27" s="9"/>
      <c r="S27" s="9"/>
    </row>
    <row r="28" spans="1:24" x14ac:dyDescent="0.25">
      <c r="A28" s="29" t="str">
        <f t="shared" si="6"/>
        <v/>
      </c>
      <c r="B28" s="83" t="str">
        <f t="shared" si="7"/>
        <v/>
      </c>
      <c r="C28" s="47" t="str">
        <f t="shared" si="8"/>
        <v xml:space="preserve"> </v>
      </c>
      <c r="D28" s="104" t="s">
        <v>44</v>
      </c>
      <c r="E28" s="111" t="str">
        <f t="shared" si="9"/>
        <v/>
      </c>
      <c r="F28" s="104" t="s">
        <v>44</v>
      </c>
      <c r="G28" s="108" t="s">
        <v>44</v>
      </c>
      <c r="H28" s="80" t="s">
        <v>44</v>
      </c>
      <c r="I28" s="70" t="s">
        <v>44</v>
      </c>
      <c r="J28" s="17" t="s">
        <v>44</v>
      </c>
      <c r="K28" s="17" t="s">
        <v>44</v>
      </c>
      <c r="L28" s="17" t="s">
        <v>44</v>
      </c>
      <c r="M28" s="17" t="s">
        <v>44</v>
      </c>
      <c r="N28" s="51" t="s">
        <v>44</v>
      </c>
      <c r="O28" s="9"/>
      <c r="P28" s="9"/>
      <c r="Q28" s="9"/>
      <c r="R28" s="9"/>
      <c r="S28" s="9"/>
    </row>
    <row r="29" spans="1:24" x14ac:dyDescent="0.25">
      <c r="A29" s="29" t="str">
        <f t="shared" si="6"/>
        <v/>
      </c>
      <c r="B29" s="83" t="str">
        <f t="shared" si="7"/>
        <v/>
      </c>
      <c r="C29" s="47" t="str">
        <f t="shared" si="8"/>
        <v xml:space="preserve"> </v>
      </c>
      <c r="D29" s="104" t="s">
        <v>44</v>
      </c>
      <c r="E29" s="111" t="str">
        <f t="shared" si="9"/>
        <v/>
      </c>
      <c r="F29" s="104" t="s">
        <v>44</v>
      </c>
      <c r="G29" s="108" t="s">
        <v>44</v>
      </c>
      <c r="H29" s="80" t="s">
        <v>44</v>
      </c>
      <c r="I29" s="70" t="s">
        <v>44</v>
      </c>
      <c r="J29" s="17" t="s">
        <v>44</v>
      </c>
      <c r="K29" s="17" t="s">
        <v>44</v>
      </c>
      <c r="L29" s="17" t="s">
        <v>44</v>
      </c>
      <c r="M29" s="17" t="s">
        <v>44</v>
      </c>
      <c r="N29" s="51" t="s">
        <v>44</v>
      </c>
      <c r="O29" s="9"/>
      <c r="P29" s="9"/>
      <c r="Q29" s="9"/>
      <c r="R29" s="9"/>
      <c r="S29" s="9"/>
    </row>
    <row r="30" spans="1:24" x14ac:dyDescent="0.25">
      <c r="A30" s="28" t="str">
        <f t="shared" si="6"/>
        <v/>
      </c>
      <c r="B30" s="84" t="str">
        <f t="shared" si="7"/>
        <v/>
      </c>
      <c r="C30" s="120" t="str">
        <f t="shared" si="8"/>
        <v xml:space="preserve"> </v>
      </c>
      <c r="D30" s="105" t="s">
        <v>44</v>
      </c>
      <c r="E30" s="121" t="str">
        <f t="shared" si="9"/>
        <v/>
      </c>
      <c r="F30" s="105" t="s">
        <v>44</v>
      </c>
      <c r="G30" s="109" t="s">
        <v>44</v>
      </c>
      <c r="H30" s="81" t="s">
        <v>44</v>
      </c>
      <c r="I30" s="71" t="s">
        <v>44</v>
      </c>
      <c r="J30" s="27" t="s">
        <v>44</v>
      </c>
      <c r="K30" s="27" t="s">
        <v>44</v>
      </c>
      <c r="L30" s="27" t="s">
        <v>44</v>
      </c>
      <c r="M30" s="27" t="s">
        <v>44</v>
      </c>
      <c r="N30" s="52" t="s">
        <v>44</v>
      </c>
      <c r="O30" s="9"/>
      <c r="P30" s="9"/>
      <c r="Q30" s="9"/>
      <c r="R30" s="9"/>
      <c r="S30" s="9"/>
    </row>
    <row r="31" spans="1:24" x14ac:dyDescent="0.25">
      <c r="A31" s="9"/>
      <c r="B31" s="24"/>
      <c r="C31" s="9"/>
      <c r="D31" s="9"/>
      <c r="E31" s="9"/>
      <c r="F31" s="9"/>
      <c r="G31" s="10"/>
      <c r="H31" s="10"/>
      <c r="I31" s="10"/>
      <c r="J31" s="10"/>
      <c r="K31" s="10"/>
      <c r="L31" s="10"/>
      <c r="M31" s="10"/>
      <c r="N31" s="10"/>
      <c r="O31" s="9"/>
      <c r="P31" s="9"/>
      <c r="Q31" s="9"/>
      <c r="R31" s="9"/>
      <c r="S31" s="9"/>
    </row>
    <row r="32" spans="1:24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</row>
    <row r="33" spans="1:1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</row>
    <row r="34" spans="1:1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</row>
    <row r="35" spans="1:19" x14ac:dyDescent="0.25">
      <c r="A35" s="9"/>
      <c r="B35" s="9"/>
      <c r="C35" s="9" t="s">
        <v>42</v>
      </c>
      <c r="D35" s="9"/>
      <c r="E35" s="9"/>
      <c r="F35" s="9"/>
      <c r="G35" s="9"/>
      <c r="H35" s="9"/>
      <c r="I35" s="9" t="s">
        <v>47</v>
      </c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1:19" x14ac:dyDescent="0.25">
      <c r="A36" s="9"/>
      <c r="B36" s="8">
        <v>191999.99999999997</v>
      </c>
      <c r="C36" s="8">
        <v>-872.78863420647269</v>
      </c>
      <c r="D36" s="9"/>
      <c r="E36" s="9"/>
      <c r="F36" s="9"/>
      <c r="G36" s="9"/>
      <c r="H36" s="9"/>
      <c r="I36" s="9" t="s">
        <v>45</v>
      </c>
      <c r="J36" s="9" t="s">
        <v>45</v>
      </c>
      <c r="K36" s="9" t="s">
        <v>45</v>
      </c>
      <c r="L36" s="9" t="s">
        <v>45</v>
      </c>
      <c r="M36" s="9" t="s">
        <v>45</v>
      </c>
      <c r="N36" s="8" t="s">
        <v>45</v>
      </c>
      <c r="O36" s="8"/>
      <c r="P36" s="9"/>
      <c r="Q36" s="9"/>
      <c r="R36" s="9"/>
      <c r="S36" s="9"/>
    </row>
    <row r="37" spans="1:19" x14ac:dyDescent="0.25">
      <c r="A37" s="9"/>
      <c r="B37" s="8">
        <v>-0.25000000000000006</v>
      </c>
      <c r="C37" s="8">
        <v>63.480000000000004</v>
      </c>
      <c r="D37" s="9"/>
      <c r="E37" s="9"/>
      <c r="F37" s="9"/>
      <c r="G37" s="9"/>
      <c r="H37" s="9"/>
      <c r="I37" s="9" t="s">
        <v>45</v>
      </c>
      <c r="J37" s="9" t="s">
        <v>45</v>
      </c>
      <c r="K37" s="9" t="s">
        <v>45</v>
      </c>
      <c r="L37" s="9" t="s">
        <v>45</v>
      </c>
      <c r="M37" s="9" t="s">
        <v>45</v>
      </c>
      <c r="N37" s="8" t="s">
        <v>45</v>
      </c>
      <c r="O37" s="8"/>
      <c r="P37" s="9"/>
      <c r="Q37" s="9"/>
      <c r="R37" s="9"/>
      <c r="S37" s="9"/>
    </row>
    <row r="38" spans="1:19" x14ac:dyDescent="0.25">
      <c r="A38" s="9"/>
      <c r="B38" s="9"/>
      <c r="C38" s="9"/>
      <c r="D38" s="9"/>
      <c r="E38" s="9"/>
      <c r="F38" s="9"/>
      <c r="G38" s="9"/>
      <c r="H38" s="9"/>
      <c r="I38" s="9" t="s">
        <v>45</v>
      </c>
      <c r="J38" s="9" t="s">
        <v>45</v>
      </c>
      <c r="K38" s="9" t="s">
        <v>45</v>
      </c>
      <c r="L38" s="9" t="s">
        <v>45</v>
      </c>
      <c r="M38" s="9" t="s">
        <v>45</v>
      </c>
      <c r="N38" s="8" t="s">
        <v>45</v>
      </c>
      <c r="O38" s="8"/>
      <c r="P38" s="9"/>
      <c r="Q38" s="9"/>
      <c r="R38" s="9"/>
      <c r="S38" s="9"/>
    </row>
    <row r="39" spans="1:19" x14ac:dyDescent="0.25">
      <c r="A39" s="9"/>
      <c r="B39" s="9"/>
      <c r="C39" s="9"/>
      <c r="D39" s="9"/>
      <c r="E39" s="9"/>
      <c r="F39" s="9"/>
      <c r="G39" s="9"/>
      <c r="H39" s="9"/>
      <c r="I39" s="9" t="s">
        <v>45</v>
      </c>
      <c r="J39" s="9" t="s">
        <v>45</v>
      </c>
      <c r="K39" s="9" t="s">
        <v>45</v>
      </c>
      <c r="L39" s="9" t="s">
        <v>45</v>
      </c>
      <c r="M39" s="9" t="s">
        <v>45</v>
      </c>
      <c r="N39" s="8" t="s">
        <v>45</v>
      </c>
      <c r="O39" s="8"/>
      <c r="P39" s="9"/>
      <c r="Q39" s="9"/>
      <c r="R39" s="9"/>
      <c r="S39" s="9"/>
    </row>
    <row r="40" spans="1:19" x14ac:dyDescent="0.25">
      <c r="A40" s="9"/>
      <c r="B40" s="9"/>
      <c r="C40" s="9"/>
      <c r="D40" s="9"/>
      <c r="E40" s="9"/>
      <c r="F40" s="9"/>
      <c r="G40" s="9"/>
      <c r="H40" s="9"/>
      <c r="I40" s="9" t="s">
        <v>45</v>
      </c>
      <c r="J40" s="9" t="s">
        <v>45</v>
      </c>
      <c r="K40" s="9" t="s">
        <v>45</v>
      </c>
      <c r="L40" s="9" t="s">
        <v>45</v>
      </c>
      <c r="M40" s="9" t="s">
        <v>45</v>
      </c>
      <c r="N40" s="8" t="s">
        <v>45</v>
      </c>
      <c r="O40" s="8"/>
      <c r="P40" s="9"/>
      <c r="Q40" s="9"/>
      <c r="R40" s="9"/>
      <c r="S40" s="9"/>
    </row>
    <row r="41" spans="1:19" x14ac:dyDescent="0.25">
      <c r="A41" s="9"/>
      <c r="B41" s="9"/>
      <c r="C41" s="9"/>
      <c r="D41" s="9"/>
      <c r="E41" s="9"/>
      <c r="F41" s="9"/>
      <c r="G41" s="9"/>
      <c r="H41" s="9"/>
      <c r="I41" s="9" t="s">
        <v>45</v>
      </c>
      <c r="J41" s="9" t="s">
        <v>45</v>
      </c>
      <c r="K41" s="9" t="s">
        <v>45</v>
      </c>
      <c r="L41" s="9" t="s">
        <v>45</v>
      </c>
      <c r="M41" s="9" t="s">
        <v>45</v>
      </c>
      <c r="N41" s="8" t="s">
        <v>45</v>
      </c>
      <c r="O41" s="8"/>
      <c r="P41" s="9"/>
      <c r="Q41" s="9"/>
      <c r="R41" s="9"/>
      <c r="S41" s="9"/>
    </row>
    <row r="42" spans="1:1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19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19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19" x14ac:dyDescent="0.25">
      <c r="A45" s="9"/>
      <c r="B45" s="9"/>
      <c r="C45" s="9" t="s">
        <v>43</v>
      </c>
      <c r="D45" s="9"/>
      <c r="E45" s="9"/>
      <c r="F45" s="9"/>
      <c r="G45" s="9"/>
      <c r="H45" s="9"/>
      <c r="I45" s="9" t="s">
        <v>46</v>
      </c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19" x14ac:dyDescent="0.25">
      <c r="A46" s="9"/>
      <c r="B46" s="8">
        <v>448000</v>
      </c>
      <c r="C46" s="8">
        <v>-2807.2113657935274</v>
      </c>
      <c r="D46" s="9"/>
      <c r="E46" s="9"/>
      <c r="F46" s="9"/>
      <c r="G46" s="9"/>
      <c r="H46" s="9"/>
      <c r="I46" s="9" t="s">
        <v>41</v>
      </c>
      <c r="J46" s="9" t="s">
        <v>41</v>
      </c>
      <c r="K46" s="9" t="s">
        <v>41</v>
      </c>
      <c r="L46" s="9" t="s">
        <v>41</v>
      </c>
      <c r="M46" s="9" t="s">
        <v>41</v>
      </c>
      <c r="N46" s="8" t="s">
        <v>41</v>
      </c>
      <c r="O46" s="8"/>
      <c r="P46" s="9"/>
      <c r="Q46" s="9"/>
      <c r="R46" s="9"/>
      <c r="S46" s="9"/>
    </row>
    <row r="47" spans="1:19" x14ac:dyDescent="0.25">
      <c r="A47" s="9"/>
      <c r="B47" s="8">
        <v>-9.2574720127566401E-2</v>
      </c>
      <c r="C47" s="8">
        <v>2052.52</v>
      </c>
      <c r="D47" s="9"/>
      <c r="E47" s="9"/>
      <c r="F47" s="9"/>
      <c r="G47" s="9"/>
      <c r="H47" s="9"/>
      <c r="I47" s="9" t="s">
        <v>41</v>
      </c>
      <c r="J47" s="9" t="s">
        <v>41</v>
      </c>
      <c r="K47" s="9" t="s">
        <v>41</v>
      </c>
      <c r="L47" s="9" t="s">
        <v>41</v>
      </c>
      <c r="M47" s="9" t="s">
        <v>41</v>
      </c>
      <c r="N47" s="8" t="s">
        <v>41</v>
      </c>
      <c r="O47" s="8"/>
      <c r="P47" s="9"/>
      <c r="Q47" s="9"/>
      <c r="R47" s="9"/>
      <c r="S47" s="9"/>
    </row>
    <row r="48" spans="1:19" x14ac:dyDescent="0.25">
      <c r="A48" s="9"/>
      <c r="B48" s="9"/>
      <c r="C48" s="9"/>
      <c r="D48" s="9"/>
      <c r="E48" s="9"/>
      <c r="F48" s="9"/>
      <c r="G48" s="9"/>
      <c r="H48" s="9"/>
      <c r="I48" s="9" t="s">
        <v>41</v>
      </c>
      <c r="J48" s="9" t="s">
        <v>41</v>
      </c>
      <c r="K48" s="9" t="s">
        <v>41</v>
      </c>
      <c r="L48" s="9" t="s">
        <v>41</v>
      </c>
      <c r="M48" s="9" t="s">
        <v>41</v>
      </c>
      <c r="N48" s="8" t="s">
        <v>41</v>
      </c>
      <c r="O48" s="8"/>
      <c r="P48" s="9"/>
      <c r="Q48" s="9"/>
      <c r="R48" s="9"/>
      <c r="S48" s="9"/>
    </row>
    <row r="49" spans="1:19" x14ac:dyDescent="0.25">
      <c r="A49" s="9"/>
      <c r="B49" s="9"/>
      <c r="C49" s="9"/>
      <c r="D49" s="9"/>
      <c r="E49" s="9"/>
      <c r="F49" s="9"/>
      <c r="G49" s="9"/>
      <c r="H49" s="9"/>
      <c r="I49" s="9" t="s">
        <v>41</v>
      </c>
      <c r="J49" s="9" t="s">
        <v>41</v>
      </c>
      <c r="K49" s="9" t="s">
        <v>41</v>
      </c>
      <c r="L49" s="9" t="s">
        <v>41</v>
      </c>
      <c r="M49" s="9" t="s">
        <v>41</v>
      </c>
      <c r="N49" s="8" t="s">
        <v>41</v>
      </c>
      <c r="O49" s="8"/>
      <c r="P49" s="9"/>
      <c r="Q49" s="9"/>
      <c r="R49" s="9"/>
      <c r="S49" s="9"/>
    </row>
    <row r="50" spans="1:19" x14ac:dyDescent="0.25">
      <c r="A50" s="9"/>
      <c r="B50" s="9"/>
      <c r="C50" s="9"/>
      <c r="D50" s="9"/>
      <c r="E50" s="9"/>
      <c r="F50" s="9"/>
      <c r="G50" s="9"/>
      <c r="H50" s="9"/>
      <c r="I50" s="9" t="s">
        <v>41</v>
      </c>
      <c r="J50" s="9" t="s">
        <v>41</v>
      </c>
      <c r="K50" s="9" t="s">
        <v>41</v>
      </c>
      <c r="L50" s="9" t="s">
        <v>41</v>
      </c>
      <c r="M50" s="9" t="s">
        <v>41</v>
      </c>
      <c r="N50" s="8" t="s">
        <v>41</v>
      </c>
      <c r="O50" s="8"/>
      <c r="P50" s="9"/>
      <c r="Q50" s="9"/>
      <c r="R50" s="9"/>
      <c r="S50" s="9"/>
    </row>
    <row r="51" spans="1:19" x14ac:dyDescent="0.25">
      <c r="A51" s="9"/>
      <c r="B51" s="9"/>
      <c r="C51" s="9"/>
      <c r="D51" s="9"/>
      <c r="E51" s="9"/>
      <c r="F51" s="9"/>
      <c r="G51" s="9"/>
      <c r="H51" s="9"/>
      <c r="I51" s="9" t="s">
        <v>41</v>
      </c>
      <c r="J51" s="9" t="s">
        <v>41</v>
      </c>
      <c r="K51" s="9" t="s">
        <v>41</v>
      </c>
      <c r="L51" s="9" t="s">
        <v>41</v>
      </c>
      <c r="M51" s="9" t="s">
        <v>41</v>
      </c>
      <c r="N51" s="8" t="s">
        <v>41</v>
      </c>
      <c r="O51" s="8"/>
      <c r="P51" s="9"/>
      <c r="Q51" s="9"/>
      <c r="R51" s="9"/>
      <c r="S51" s="9"/>
    </row>
    <row r="52" spans="1:1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8"/>
      <c r="O52" s="8"/>
      <c r="P52" s="9"/>
      <c r="Q52" s="9"/>
      <c r="R52" s="9"/>
      <c r="S52" s="9"/>
    </row>
    <row r="53" spans="1:19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8"/>
      <c r="O53" s="8"/>
      <c r="P53" s="9"/>
      <c r="Q53" s="9"/>
      <c r="R53" s="9"/>
      <c r="S53" s="9"/>
    </row>
    <row r="54" spans="1:19" x14ac:dyDescent="0.2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P54" s="9"/>
      <c r="Q54" s="9"/>
      <c r="R54" s="9"/>
      <c r="S54" s="9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54"/>
  <sheetViews>
    <sheetView tabSelected="1" zoomScale="90" zoomScaleNormal="90" workbookViewId="0">
      <pane ySplit="12816" topLeftCell="A37"/>
      <selection activeCell="H6" sqref="H6:H7"/>
      <selection pane="bottomLeft" activeCell="A29" sqref="A29"/>
    </sheetView>
  </sheetViews>
  <sheetFormatPr defaultRowHeight="13.2" x14ac:dyDescent="0.25"/>
  <cols>
    <col min="1" max="1" width="7.5546875" customWidth="1"/>
    <col min="3" max="3" width="12" customWidth="1"/>
    <col min="4" max="4" width="10.33203125" customWidth="1"/>
    <col min="6" max="6" width="10.6640625" customWidth="1"/>
    <col min="7" max="7" width="10.88671875" customWidth="1"/>
    <col min="8" max="8" width="12.5546875" customWidth="1"/>
    <col min="9" max="9" width="9.6640625" customWidth="1"/>
    <col min="10" max="10" width="11.6640625" customWidth="1"/>
    <col min="11" max="11" width="10.109375" customWidth="1"/>
    <col min="12" max="12" width="9.33203125" customWidth="1"/>
    <col min="13" max="13" width="8.109375" customWidth="1"/>
    <col min="14" max="14" width="10" customWidth="1"/>
    <col min="15" max="15" width="9.33203125" customWidth="1"/>
    <col min="19" max="19" width="9.44140625" bestFit="1" customWidth="1"/>
    <col min="20" max="20" width="14.109375" customWidth="1"/>
    <col min="21" max="33" width="9.44140625" bestFit="1" customWidth="1"/>
  </cols>
  <sheetData>
    <row r="1" spans="1:26" ht="18.75" customHeight="1" x14ac:dyDescent="0.3">
      <c r="A1" s="97" t="s">
        <v>36</v>
      </c>
      <c r="B1" s="98" t="s">
        <v>37</v>
      </c>
      <c r="C1" s="4"/>
      <c r="D1" s="72"/>
      <c r="E1" s="73"/>
      <c r="F1" s="93"/>
      <c r="G1" s="94"/>
      <c r="I1" s="9"/>
      <c r="J1" s="9"/>
      <c r="K1" s="9"/>
      <c r="L1" s="9"/>
      <c r="M1" s="9"/>
      <c r="N1" s="9"/>
      <c r="Q1" s="9"/>
      <c r="R1" s="9"/>
      <c r="S1" s="9"/>
    </row>
    <row r="2" spans="1:26" ht="18" thickBot="1" x14ac:dyDescent="0.35">
      <c r="A2" s="4"/>
      <c r="B2" s="92" t="s">
        <v>21</v>
      </c>
      <c r="C2" s="91"/>
      <c r="D2" s="122" t="s">
        <v>41</v>
      </c>
      <c r="E2" s="25"/>
      <c r="F2" s="25"/>
      <c r="G2" s="25"/>
      <c r="H2" s="59"/>
      <c r="I2" s="99" t="s">
        <v>40</v>
      </c>
      <c r="J2" s="60"/>
      <c r="K2" s="9"/>
      <c r="L2" s="9"/>
      <c r="M2" s="9"/>
      <c r="N2" s="9"/>
      <c r="O2" s="9"/>
      <c r="P2" s="9"/>
      <c r="Q2" s="9"/>
      <c r="R2" s="9"/>
      <c r="S2" s="9"/>
    </row>
    <row r="3" spans="1:26" ht="15.6" thickBot="1" x14ac:dyDescent="0.3">
      <c r="A3" s="87">
        <v>2</v>
      </c>
      <c r="B3" s="89" t="s">
        <v>27</v>
      </c>
      <c r="C3" s="88"/>
      <c r="D3" s="32"/>
      <c r="E3" s="23"/>
      <c r="F3" s="19" t="s">
        <v>20</v>
      </c>
      <c r="G3" s="23"/>
      <c r="H3" s="23"/>
      <c r="I3" s="100"/>
      <c r="J3" s="75">
        <v>3.4641016151377548</v>
      </c>
      <c r="K3" s="124"/>
      <c r="L3" s="125"/>
      <c r="M3" s="126"/>
      <c r="N3" s="126"/>
      <c r="O3" s="127"/>
      <c r="P3" s="127"/>
      <c r="Q3" s="9"/>
      <c r="R3" s="9"/>
      <c r="S3" s="9"/>
    </row>
    <row r="4" spans="1:26" x14ac:dyDescent="0.25">
      <c r="A4" s="2"/>
      <c r="B4" s="2"/>
      <c r="C4" s="2"/>
      <c r="D4" s="33" t="s">
        <v>5</v>
      </c>
      <c r="E4" s="3" t="s">
        <v>33</v>
      </c>
      <c r="F4" s="3" t="s">
        <v>32</v>
      </c>
      <c r="G4" s="3" t="s">
        <v>18</v>
      </c>
      <c r="H4" s="3" t="s">
        <v>4</v>
      </c>
      <c r="I4" s="117" t="s">
        <v>35</v>
      </c>
      <c r="J4" s="85"/>
      <c r="K4" s="139" t="s">
        <v>85</v>
      </c>
      <c r="L4" s="128"/>
      <c r="M4" s="128"/>
      <c r="N4" s="128"/>
      <c r="O4" s="128"/>
      <c r="P4" s="129"/>
      <c r="Q4" s="128"/>
      <c r="R4" s="7"/>
      <c r="S4" s="63"/>
      <c r="T4" s="13"/>
      <c r="U4" s="13"/>
      <c r="V4" s="1"/>
      <c r="W4" s="1"/>
      <c r="X4" s="1"/>
    </row>
    <row r="5" spans="1:26" x14ac:dyDescent="0.25">
      <c r="A5" s="2" t="s">
        <v>0</v>
      </c>
      <c r="B5" s="35" t="s">
        <v>3</v>
      </c>
      <c r="C5" s="16" t="s">
        <v>7</v>
      </c>
      <c r="D5" s="39" t="s">
        <v>2</v>
      </c>
      <c r="E5" s="37" t="s">
        <v>30</v>
      </c>
      <c r="F5" s="37" t="s">
        <v>30</v>
      </c>
      <c r="G5" s="38" t="s">
        <v>17</v>
      </c>
      <c r="H5" s="16" t="s">
        <v>34</v>
      </c>
      <c r="I5" s="118" t="s">
        <v>38</v>
      </c>
      <c r="J5" s="49" t="s">
        <v>39</v>
      </c>
      <c r="K5" s="74">
        <f t="shared" ref="K5:P5" si="0">IF(COLUMN(K5)&lt;=nt+10,COLUMN(K5)-10,IF(J5=nt,"     ",""))</f>
        <v>1</v>
      </c>
      <c r="L5" s="28">
        <f t="shared" si="0"/>
        <v>2</v>
      </c>
      <c r="M5" s="28" t="str">
        <f t="shared" si="0"/>
        <v xml:space="preserve">     </v>
      </c>
      <c r="N5" s="28" t="str">
        <f t="shared" si="0"/>
        <v/>
      </c>
      <c r="O5" s="28" t="str">
        <f t="shared" si="0"/>
        <v/>
      </c>
      <c r="P5" s="28" t="str">
        <f t="shared" si="0"/>
        <v/>
      </c>
      <c r="Q5" s="128"/>
      <c r="R5" s="7"/>
      <c r="S5" s="9"/>
      <c r="T5" s="13"/>
      <c r="U5" s="13"/>
      <c r="V5" s="1"/>
      <c r="W5" s="1"/>
      <c r="X5" s="1"/>
    </row>
    <row r="6" spans="1:26" x14ac:dyDescent="0.25">
      <c r="A6" s="3">
        <f t="shared" ref="A6:A11" si="1">IF(ROW(A6)&lt;=nt+5,ROW(A6)-5,IF(A5=nt,"     ",""))</f>
        <v>1</v>
      </c>
      <c r="B6" s="137" t="s">
        <v>89</v>
      </c>
      <c r="C6" s="137"/>
      <c r="D6" s="34">
        <f>SQRT(25)</f>
        <v>5</v>
      </c>
      <c r="E6" s="5">
        <v>0.4</v>
      </c>
      <c r="F6" s="5">
        <v>0.5</v>
      </c>
      <c r="G6" s="5">
        <v>0</v>
      </c>
      <c r="H6" s="138">
        <v>1</v>
      </c>
      <c r="I6" s="47">
        <f t="shared" ref="I6:I11" si="2">IF($A6&lt;=nt,SQRT(E6)*D6," ")</f>
        <v>3.1622776601683795</v>
      </c>
      <c r="J6" s="101">
        <f t="shared" ref="J6:J11" si="3">IF($A6&lt;=nt,H6*I6," ")</f>
        <v>3.1622776601683795</v>
      </c>
      <c r="K6" s="134">
        <v>8.7250119076829886</v>
      </c>
      <c r="L6" s="134">
        <v>-3.4900047630731943</v>
      </c>
      <c r="M6" s="134" t="s">
        <v>44</v>
      </c>
      <c r="N6" s="134" t="s">
        <v>44</v>
      </c>
      <c r="O6" s="134" t="s">
        <v>44</v>
      </c>
      <c r="P6" s="101" t="s">
        <v>44</v>
      </c>
      <c r="Q6" s="130"/>
      <c r="R6" s="7"/>
      <c r="S6" s="8"/>
      <c r="T6" s="13"/>
      <c r="U6" s="12"/>
      <c r="V6" s="14"/>
      <c r="W6" s="1"/>
      <c r="X6" s="1"/>
    </row>
    <row r="7" spans="1:26" x14ac:dyDescent="0.25">
      <c r="A7" s="3">
        <f t="shared" si="1"/>
        <v>2</v>
      </c>
      <c r="B7" s="137" t="s">
        <v>90</v>
      </c>
      <c r="C7" s="137"/>
      <c r="D7" s="34">
        <v>10</v>
      </c>
      <c r="E7" s="5">
        <v>0.1</v>
      </c>
      <c r="F7" s="5">
        <v>0.1</v>
      </c>
      <c r="G7" s="5">
        <v>0</v>
      </c>
      <c r="H7" s="138">
        <v>1</v>
      </c>
      <c r="I7" s="47">
        <f t="shared" si="2"/>
        <v>3.1622776601683795</v>
      </c>
      <c r="J7" s="101">
        <f t="shared" si="3"/>
        <v>3.1622776601683795</v>
      </c>
      <c r="K7" s="134">
        <v>-0.56074553024049167</v>
      </c>
      <c r="L7" s="134">
        <v>4.439707617758744</v>
      </c>
      <c r="M7" s="134" t="s">
        <v>44</v>
      </c>
      <c r="N7" s="134" t="s">
        <v>44</v>
      </c>
      <c r="O7" s="134" t="s">
        <v>44</v>
      </c>
      <c r="P7" s="101" t="s">
        <v>44</v>
      </c>
      <c r="Q7" s="130"/>
      <c r="R7" s="7"/>
      <c r="S7" s="8"/>
      <c r="T7" s="13"/>
      <c r="U7" s="12"/>
      <c r="V7" s="14"/>
      <c r="W7" s="1"/>
      <c r="X7" s="1"/>
    </row>
    <row r="8" spans="1:26" x14ac:dyDescent="0.25">
      <c r="A8" s="3" t="str">
        <f t="shared" si="1"/>
        <v xml:space="preserve">     </v>
      </c>
      <c r="B8" s="5"/>
      <c r="C8" s="5"/>
      <c r="D8" s="34"/>
      <c r="E8" s="5"/>
      <c r="F8" s="5"/>
      <c r="G8" s="5"/>
      <c r="H8" s="5"/>
      <c r="I8" s="47" t="str">
        <f t="shared" si="2"/>
        <v xml:space="preserve"> </v>
      </c>
      <c r="J8" s="101" t="str">
        <f t="shared" si="3"/>
        <v xml:space="preserve"> </v>
      </c>
      <c r="K8" s="134" t="s">
        <v>44</v>
      </c>
      <c r="L8" s="134" t="s">
        <v>44</v>
      </c>
      <c r="M8" s="134" t="s">
        <v>44</v>
      </c>
      <c r="N8" s="134" t="s">
        <v>44</v>
      </c>
      <c r="O8" s="134" t="s">
        <v>44</v>
      </c>
      <c r="P8" s="101" t="s">
        <v>44</v>
      </c>
      <c r="Q8" s="130"/>
      <c r="R8" s="7"/>
      <c r="S8" s="8"/>
      <c r="T8" s="13"/>
      <c r="U8" s="12"/>
      <c r="V8" s="14"/>
      <c r="W8" s="1"/>
      <c r="X8" s="1"/>
    </row>
    <row r="9" spans="1:26" x14ac:dyDescent="0.25">
      <c r="A9" s="3" t="str">
        <f t="shared" si="1"/>
        <v/>
      </c>
      <c r="B9" s="5"/>
      <c r="C9" s="5"/>
      <c r="D9" s="34"/>
      <c r="E9" s="5"/>
      <c r="F9" s="5"/>
      <c r="G9" s="5"/>
      <c r="H9" s="5"/>
      <c r="I9" s="47" t="str">
        <f t="shared" si="2"/>
        <v xml:space="preserve"> </v>
      </c>
      <c r="J9" s="101" t="str">
        <f t="shared" si="3"/>
        <v xml:space="preserve"> </v>
      </c>
      <c r="K9" s="134" t="s">
        <v>44</v>
      </c>
      <c r="L9" s="134" t="s">
        <v>44</v>
      </c>
      <c r="M9" s="134" t="s">
        <v>44</v>
      </c>
      <c r="N9" s="134" t="s">
        <v>44</v>
      </c>
      <c r="O9" s="134" t="s">
        <v>44</v>
      </c>
      <c r="P9" s="101" t="s">
        <v>44</v>
      </c>
      <c r="Q9" s="130"/>
      <c r="R9" s="7"/>
      <c r="S9" s="8"/>
      <c r="T9" s="13"/>
      <c r="U9" s="12"/>
      <c r="V9" s="14"/>
      <c r="W9" s="1"/>
      <c r="X9" s="1"/>
    </row>
    <row r="10" spans="1:26" x14ac:dyDescent="0.25">
      <c r="A10" s="3" t="str">
        <f t="shared" si="1"/>
        <v/>
      </c>
      <c r="B10" s="5"/>
      <c r="C10" s="5"/>
      <c r="D10" s="34"/>
      <c r="E10" s="5"/>
      <c r="F10" s="5"/>
      <c r="G10" s="5"/>
      <c r="H10" s="5"/>
      <c r="I10" s="47" t="str">
        <f t="shared" si="2"/>
        <v xml:space="preserve"> </v>
      </c>
      <c r="J10" s="101" t="str">
        <f t="shared" si="3"/>
        <v xml:space="preserve"> </v>
      </c>
      <c r="K10" s="134" t="s">
        <v>44</v>
      </c>
      <c r="L10" s="134" t="s">
        <v>44</v>
      </c>
      <c r="M10" s="134" t="s">
        <v>44</v>
      </c>
      <c r="N10" s="134" t="s">
        <v>44</v>
      </c>
      <c r="O10" s="134" t="s">
        <v>44</v>
      </c>
      <c r="P10" s="101" t="s">
        <v>44</v>
      </c>
      <c r="Q10" s="130"/>
      <c r="R10" s="7"/>
      <c r="S10" s="8"/>
      <c r="T10" s="13"/>
      <c r="U10" s="12"/>
      <c r="V10" s="14"/>
      <c r="W10" s="1"/>
      <c r="X10" s="1"/>
      <c r="Z10" t="str">
        <f>IF(COLUMN(Z10)&lt;=nt+3,COLUMN(Z10)-3,IF(Y10=nt,"Correlation structure",""))</f>
        <v/>
      </c>
    </row>
    <row r="11" spans="1:26" x14ac:dyDescent="0.25">
      <c r="A11" s="16" t="str">
        <f t="shared" si="1"/>
        <v/>
      </c>
      <c r="B11" s="36"/>
      <c r="C11" s="5"/>
      <c r="D11" s="34"/>
      <c r="E11" s="5"/>
      <c r="F11" s="5"/>
      <c r="G11" s="5"/>
      <c r="H11" s="5"/>
      <c r="I11" s="47" t="str">
        <f t="shared" si="2"/>
        <v xml:space="preserve"> </v>
      </c>
      <c r="J11" s="101" t="str">
        <f t="shared" si="3"/>
        <v xml:space="preserve"> </v>
      </c>
      <c r="K11" s="132" t="s">
        <v>44</v>
      </c>
      <c r="L11" s="132" t="s">
        <v>44</v>
      </c>
      <c r="M11" s="132" t="s">
        <v>44</v>
      </c>
      <c r="N11" s="132" t="s">
        <v>44</v>
      </c>
      <c r="O11" s="132" t="s">
        <v>44</v>
      </c>
      <c r="P11" s="133" t="s">
        <v>44</v>
      </c>
      <c r="Q11" s="128"/>
      <c r="R11" s="7"/>
      <c r="S11" s="9"/>
      <c r="T11" s="13"/>
      <c r="U11" s="12"/>
      <c r="V11" s="14"/>
      <c r="W11" s="1"/>
      <c r="X11" s="1"/>
    </row>
    <row r="12" spans="1:26" x14ac:dyDescent="0.25">
      <c r="A12" s="1"/>
      <c r="B12" s="7"/>
      <c r="C12" s="30"/>
      <c r="D12" s="31" t="s">
        <v>25</v>
      </c>
      <c r="E12" s="30"/>
      <c r="F12" s="30"/>
      <c r="G12" s="30"/>
      <c r="H12" s="42"/>
      <c r="I12" s="41"/>
      <c r="J12" s="66" t="s">
        <v>26</v>
      </c>
      <c r="K12" s="40"/>
      <c r="L12" s="23"/>
      <c r="M12" s="23"/>
      <c r="N12" s="76"/>
      <c r="O12" s="62"/>
      <c r="P12" s="7"/>
      <c r="Q12" s="7"/>
      <c r="R12" s="7"/>
      <c r="S12" s="9"/>
      <c r="T12" s="13"/>
      <c r="U12" s="12"/>
      <c r="V12" s="14"/>
      <c r="W12" s="1"/>
      <c r="X12" s="1"/>
    </row>
    <row r="13" spans="1:26" x14ac:dyDescent="0.25">
      <c r="A13" s="21" t="s">
        <v>1</v>
      </c>
      <c r="B13" s="22"/>
      <c r="C13" s="20">
        <f t="shared" ref="C13:H13" si="4">IF(COLUMN(C13)&lt;=nt+2,COLUMN(C13)-2,IF(B13=nt,"Phenotypic",""))</f>
        <v>1</v>
      </c>
      <c r="D13" s="20">
        <f t="shared" si="4"/>
        <v>2</v>
      </c>
      <c r="E13" s="20" t="str">
        <f t="shared" si="4"/>
        <v>Phenotypic</v>
      </c>
      <c r="F13" s="20" t="str">
        <f t="shared" si="4"/>
        <v/>
      </c>
      <c r="G13" s="20" t="str">
        <f t="shared" si="4"/>
        <v/>
      </c>
      <c r="H13" s="43" t="str">
        <f t="shared" si="4"/>
        <v/>
      </c>
      <c r="I13" s="86" t="s">
        <v>11</v>
      </c>
      <c r="J13" s="16" t="s">
        <v>13</v>
      </c>
      <c r="K13" s="16" t="s">
        <v>12</v>
      </c>
      <c r="L13" s="16" t="s">
        <v>14</v>
      </c>
      <c r="M13" s="16" t="s">
        <v>15</v>
      </c>
      <c r="N13" s="77" t="s">
        <v>16</v>
      </c>
      <c r="O13" s="7"/>
      <c r="P13" s="7"/>
      <c r="Q13" s="7"/>
      <c r="R13" s="7"/>
      <c r="S13" s="9"/>
      <c r="T13" s="13"/>
      <c r="U13" s="12"/>
      <c r="V13" s="14"/>
      <c r="W13" s="1"/>
      <c r="X13" s="1"/>
    </row>
    <row r="14" spans="1:26" x14ac:dyDescent="0.25">
      <c r="A14" s="3" t="str">
        <f>IF(ROW(A14)&lt;=nt+22,$B6,IF(A13=nt," Genetic Correlation   ",""))</f>
        <v>t1</v>
      </c>
      <c r="B14" s="20">
        <f t="shared" ref="B14:B20" si="5">IF(ROW(B14)&lt;=nt+13,ROW(B14)-13,IF(B13=nt," Genetic   ",""))</f>
        <v>1</v>
      </c>
      <c r="C14" s="4">
        <v>1</v>
      </c>
      <c r="D14" s="4">
        <v>-0.2</v>
      </c>
      <c r="E14" s="4"/>
      <c r="F14" s="4"/>
      <c r="G14" s="4"/>
      <c r="H14" s="4"/>
      <c r="I14" s="5">
        <v>1</v>
      </c>
      <c r="J14" s="5">
        <v>1</v>
      </c>
      <c r="K14" s="5">
        <v>1</v>
      </c>
      <c r="L14" s="5">
        <v>7</v>
      </c>
      <c r="M14" s="5">
        <v>32</v>
      </c>
      <c r="N14" s="78">
        <v>50</v>
      </c>
      <c r="O14" s="62"/>
      <c r="P14" s="7"/>
      <c r="Q14" s="7"/>
      <c r="R14" s="7"/>
      <c r="S14" s="9"/>
      <c r="T14" s="13"/>
      <c r="U14" s="12"/>
      <c r="V14" s="14"/>
      <c r="W14" s="1"/>
      <c r="X14" s="1"/>
    </row>
    <row r="15" spans="1:26" x14ac:dyDescent="0.25">
      <c r="A15" s="3" t="str">
        <f>IF(ROW(A15)&lt;=nt+22,$B7,IF(A14=nt," Genetic Correlation   ",""))</f>
        <v>t2</v>
      </c>
      <c r="B15" s="20">
        <f t="shared" si="5"/>
        <v>2</v>
      </c>
      <c r="C15" s="4">
        <v>-0.4</v>
      </c>
      <c r="D15" s="4">
        <v>1</v>
      </c>
      <c r="E15" s="4"/>
      <c r="F15" s="4"/>
      <c r="G15" s="4"/>
      <c r="H15" s="4"/>
      <c r="I15" s="5">
        <v>1</v>
      </c>
      <c r="J15" s="5">
        <v>1</v>
      </c>
      <c r="K15" s="5">
        <v>1</v>
      </c>
      <c r="L15" s="5">
        <v>7</v>
      </c>
      <c r="M15" s="5">
        <v>32</v>
      </c>
      <c r="N15" s="78">
        <v>10</v>
      </c>
      <c r="O15" s="7"/>
      <c r="P15" s="7"/>
      <c r="Q15" s="7"/>
      <c r="R15" s="7"/>
      <c r="S15" s="9"/>
      <c r="T15" s="13"/>
      <c r="U15" s="12"/>
      <c r="V15" s="14"/>
      <c r="W15" s="1"/>
      <c r="X15" s="1"/>
    </row>
    <row r="16" spans="1:26" x14ac:dyDescent="0.25">
      <c r="A16" s="3">
        <f>IF(ROW(A16)&lt;=nt+22,$B8,IF(A15=nt," Genetic Correlation   ",""))</f>
        <v>0</v>
      </c>
      <c r="B16" s="20" t="str">
        <f t="shared" si="5"/>
        <v xml:space="preserve"> Genetic   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140"/>
      <c r="O16" s="7"/>
      <c r="P16" s="7"/>
      <c r="Q16" s="7"/>
      <c r="R16" s="7"/>
      <c r="S16" s="9"/>
      <c r="T16" s="13"/>
      <c r="U16" s="12"/>
      <c r="V16" s="14"/>
      <c r="W16" s="1"/>
      <c r="X16" s="1"/>
    </row>
    <row r="17" spans="1:24" x14ac:dyDescent="0.25">
      <c r="A17" s="3">
        <f>IF(ROW(A17)&lt;=nt+22,$B9,IF(A16=nt," Genetic Correlation   ",""))</f>
        <v>0</v>
      </c>
      <c r="B17" s="20" t="str">
        <f t="shared" si="5"/>
        <v/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140"/>
      <c r="O17" s="7"/>
      <c r="P17" s="7"/>
      <c r="Q17" s="7"/>
      <c r="R17" s="7"/>
      <c r="S17" s="9"/>
      <c r="T17" s="13"/>
      <c r="U17" s="12"/>
      <c r="V17" s="14"/>
      <c r="W17" s="1"/>
      <c r="X17" s="1"/>
    </row>
    <row r="18" spans="1:24" x14ac:dyDescent="0.25">
      <c r="A18" s="18">
        <f>IF(ROW(A18)&lt;=nt+22,$B10,IF(A17=nt," Genetic Correlation   ",""))</f>
        <v>0</v>
      </c>
      <c r="B18" s="44" t="str">
        <f t="shared" si="5"/>
        <v/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140"/>
      <c r="O18" s="62"/>
      <c r="P18" s="7"/>
      <c r="Q18" s="7"/>
      <c r="R18" s="7"/>
      <c r="S18" s="9"/>
      <c r="T18" s="13"/>
      <c r="U18" s="12"/>
      <c r="V18" s="14"/>
      <c r="W18" s="1"/>
      <c r="X18" s="1"/>
    </row>
    <row r="19" spans="1:24" ht="12" customHeight="1" x14ac:dyDescent="0.25">
      <c r="A19" s="16" t="str">
        <f>IF(ROW(A19)&lt;=nt+13,$B11,IF(A18=nt," Genetic Correlation   ",""))</f>
        <v/>
      </c>
      <c r="B19" s="45" t="str">
        <f t="shared" si="5"/>
        <v/>
      </c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141"/>
      <c r="O19" s="62"/>
      <c r="P19" s="7"/>
      <c r="Q19" s="7"/>
      <c r="R19" s="7"/>
      <c r="S19" s="9"/>
      <c r="T19" s="13"/>
      <c r="U19" s="12"/>
      <c r="V19" s="14"/>
      <c r="W19" s="1"/>
      <c r="X19" s="1"/>
    </row>
    <row r="20" spans="1:24" ht="15" customHeight="1" x14ac:dyDescent="0.25">
      <c r="A20" s="58"/>
      <c r="B20" s="116" t="str">
        <f t="shared" si="5"/>
        <v/>
      </c>
      <c r="C20" s="119" t="s">
        <v>41</v>
      </c>
      <c r="D20" s="119" t="s">
        <v>41</v>
      </c>
      <c r="E20" s="119" t="s">
        <v>41</v>
      </c>
      <c r="F20" s="58"/>
      <c r="G20" s="58"/>
      <c r="H20" s="58"/>
      <c r="I20" s="58"/>
      <c r="J20" s="58"/>
      <c r="K20" s="58"/>
      <c r="L20" s="58"/>
      <c r="M20" s="58"/>
      <c r="N20" s="58"/>
      <c r="O20" s="62"/>
      <c r="P20" s="7"/>
      <c r="Q20" s="7"/>
      <c r="R20" s="7"/>
      <c r="S20" s="9"/>
      <c r="T20" s="13"/>
      <c r="U20" s="12"/>
      <c r="V20" s="14"/>
      <c r="W20" s="1"/>
      <c r="X20" s="1"/>
    </row>
    <row r="21" spans="1:24" x14ac:dyDescent="0.25">
      <c r="A21" s="90"/>
      <c r="B21" s="6"/>
      <c r="C21" s="90"/>
      <c r="D21" s="6"/>
      <c r="E21" s="6"/>
      <c r="F21" s="115" t="s">
        <v>10</v>
      </c>
      <c r="G21" s="114" t="s">
        <v>8</v>
      </c>
      <c r="H21" s="6"/>
      <c r="I21" s="6"/>
      <c r="J21" s="6"/>
      <c r="K21" s="6"/>
      <c r="L21" s="6"/>
      <c r="M21" s="6"/>
      <c r="N21" s="48"/>
      <c r="O21" s="62"/>
      <c r="P21" s="7"/>
      <c r="Q21" s="7"/>
      <c r="R21" s="7"/>
      <c r="S21" s="9"/>
    </row>
    <row r="22" spans="1:24" ht="17.399999999999999" x14ac:dyDescent="0.3">
      <c r="A22" s="65" t="s">
        <v>28</v>
      </c>
      <c r="B22" s="64"/>
      <c r="C22" s="95" t="s">
        <v>44</v>
      </c>
      <c r="D22" s="6"/>
      <c r="E22" s="6"/>
      <c r="F22" s="67">
        <v>2.4869077182909991</v>
      </c>
      <c r="G22" s="123">
        <v>0.7179084203025331</v>
      </c>
      <c r="H22" s="6"/>
      <c r="I22" s="6"/>
      <c r="J22" s="6"/>
      <c r="K22" s="6"/>
      <c r="L22" s="6"/>
      <c r="M22" s="6"/>
      <c r="N22" s="61"/>
      <c r="O22" s="9"/>
      <c r="P22" s="9"/>
      <c r="Q22" s="9"/>
      <c r="R22" s="9"/>
      <c r="S22" s="9"/>
    </row>
    <row r="23" spans="1:24" ht="15.6" x14ac:dyDescent="0.3">
      <c r="A23" s="11"/>
      <c r="B23" s="53" t="s">
        <v>9</v>
      </c>
      <c r="C23" s="96" t="s">
        <v>29</v>
      </c>
      <c r="D23" s="106"/>
      <c r="E23" s="110" t="s">
        <v>6</v>
      </c>
      <c r="F23" s="102"/>
      <c r="G23" s="107" t="s">
        <v>31</v>
      </c>
      <c r="H23" s="79"/>
      <c r="I23" s="68"/>
      <c r="J23" s="54"/>
      <c r="K23" s="55" t="s">
        <v>24</v>
      </c>
      <c r="L23" s="56"/>
      <c r="M23" s="54"/>
      <c r="N23" s="57"/>
      <c r="O23" s="9"/>
      <c r="P23" s="9"/>
      <c r="Q23" s="9"/>
      <c r="R23" s="9"/>
      <c r="S23" s="9"/>
    </row>
    <row r="24" spans="1:24" x14ac:dyDescent="0.25">
      <c r="A24" s="15"/>
      <c r="B24" s="15"/>
      <c r="C24" s="74" t="s">
        <v>2</v>
      </c>
      <c r="D24" s="86"/>
      <c r="E24" s="16"/>
      <c r="F24" s="112" t="s">
        <v>39</v>
      </c>
      <c r="G24" s="74" t="s">
        <v>22</v>
      </c>
      <c r="H24" s="49" t="s">
        <v>23</v>
      </c>
      <c r="I24" s="69" t="s">
        <v>11</v>
      </c>
      <c r="J24" s="26" t="s">
        <v>13</v>
      </c>
      <c r="K24" s="26" t="s">
        <v>12</v>
      </c>
      <c r="L24" s="26" t="s">
        <v>14</v>
      </c>
      <c r="M24" s="27" t="s">
        <v>15</v>
      </c>
      <c r="N24" s="50" t="s">
        <v>16</v>
      </c>
      <c r="O24" s="9"/>
      <c r="P24" s="9"/>
      <c r="Q24" s="9"/>
      <c r="R24" s="9"/>
      <c r="S24" s="9"/>
    </row>
    <row r="25" spans="1:24" x14ac:dyDescent="0.25">
      <c r="A25" s="29">
        <f t="shared" ref="A25:A30" si="6">A6</f>
        <v>1</v>
      </c>
      <c r="B25" s="82" t="str">
        <f t="shared" ref="B25:B30" si="7">IF(ROW(A6)&lt;=nt+5,B6,IF(A5=nt,"     ",""))</f>
        <v>t1</v>
      </c>
      <c r="C25" s="47">
        <f t="shared" ref="C25:C30" si="8">IF($A6&lt;=nt,SQRT(E6)*D6," ")</f>
        <v>3.1622776601683795</v>
      </c>
      <c r="D25" s="104">
        <v>2.1050266988625079</v>
      </c>
      <c r="E25" s="111">
        <f t="shared" ref="E25:E30" si="9">IF(ROW(A6)&lt;=nt+5,C6,IF(A5=nt,"     ",""))</f>
        <v>0</v>
      </c>
      <c r="F25" s="103">
        <v>2.1050266988625079</v>
      </c>
      <c r="G25" s="108">
        <v>0.93407772201690964</v>
      </c>
      <c r="H25" s="80">
        <v>0.9340777220169092</v>
      </c>
      <c r="I25" s="70">
        <v>7.5457488475651313E-2</v>
      </c>
      <c r="J25" s="17">
        <v>2.6000422779186926E-2</v>
      </c>
      <c r="K25" s="17">
        <v>1.1541103660466675E-2</v>
      </c>
      <c r="L25" s="17">
        <v>0.11156578446501988</v>
      </c>
      <c r="M25" s="17">
        <v>0.15234741369325233</v>
      </c>
      <c r="N25" s="51">
        <v>0.9606821687459719</v>
      </c>
      <c r="O25" s="9"/>
      <c r="P25" s="9"/>
      <c r="Q25" s="7"/>
      <c r="R25" s="9"/>
      <c r="S25" s="9"/>
    </row>
    <row r="26" spans="1:24" x14ac:dyDescent="0.25">
      <c r="A26" s="29">
        <f t="shared" si="6"/>
        <v>2</v>
      </c>
      <c r="B26" s="83" t="str">
        <f t="shared" si="7"/>
        <v>t2</v>
      </c>
      <c r="C26" s="47">
        <f t="shared" si="8"/>
        <v>3.1622776601683795</v>
      </c>
      <c r="D26" s="104">
        <v>0.38188101942849045</v>
      </c>
      <c r="E26" s="111">
        <f t="shared" si="9"/>
        <v>0</v>
      </c>
      <c r="F26" s="104">
        <v>0.38188101942849045</v>
      </c>
      <c r="G26" s="108">
        <v>0.6663113099564455</v>
      </c>
      <c r="H26" s="80">
        <v>0.6270241398172467</v>
      </c>
      <c r="I26" s="70">
        <v>6.114491195742619E-2</v>
      </c>
      <c r="J26" s="17">
        <v>2.8368694030657206E-2</v>
      </c>
      <c r="K26" s="17">
        <v>1.7161579496706016E-2</v>
      </c>
      <c r="L26" s="17">
        <v>0.15206516191165101</v>
      </c>
      <c r="M26" s="113">
        <v>0.25616261791888373</v>
      </c>
      <c r="N26" s="51">
        <v>0.27672526800323083</v>
      </c>
      <c r="O26" s="9"/>
      <c r="P26" s="9"/>
      <c r="Q26" s="9"/>
      <c r="R26" s="9"/>
      <c r="S26" s="9"/>
    </row>
    <row r="27" spans="1:24" x14ac:dyDescent="0.25">
      <c r="A27" s="29" t="str">
        <f t="shared" si="6"/>
        <v xml:space="preserve">     </v>
      </c>
      <c r="B27" s="83" t="str">
        <f t="shared" si="7"/>
        <v xml:space="preserve">     </v>
      </c>
      <c r="C27" s="47" t="str">
        <f t="shared" si="8"/>
        <v xml:space="preserve"> </v>
      </c>
      <c r="D27" s="104" t="s">
        <v>44</v>
      </c>
      <c r="E27" s="111" t="str">
        <f t="shared" si="9"/>
        <v xml:space="preserve">     </v>
      </c>
      <c r="F27" s="104" t="s">
        <v>44</v>
      </c>
      <c r="G27" s="108" t="s">
        <v>44</v>
      </c>
      <c r="H27" s="80" t="s">
        <v>44</v>
      </c>
      <c r="I27" s="70" t="s">
        <v>44</v>
      </c>
      <c r="J27" s="17" t="s">
        <v>44</v>
      </c>
      <c r="K27" s="17" t="s">
        <v>44</v>
      </c>
      <c r="L27" s="17" t="s">
        <v>44</v>
      </c>
      <c r="M27" s="17" t="s">
        <v>44</v>
      </c>
      <c r="N27" s="51" t="s">
        <v>44</v>
      </c>
      <c r="O27" s="9"/>
      <c r="P27" s="9"/>
      <c r="Q27" s="9"/>
      <c r="R27" s="9"/>
      <c r="S27" s="9"/>
    </row>
    <row r="28" spans="1:24" x14ac:dyDescent="0.25">
      <c r="A28" s="29" t="str">
        <f t="shared" si="6"/>
        <v/>
      </c>
      <c r="B28" s="83" t="str">
        <f t="shared" si="7"/>
        <v/>
      </c>
      <c r="C28" s="47" t="str">
        <f t="shared" si="8"/>
        <v xml:space="preserve"> </v>
      </c>
      <c r="D28" s="104" t="s">
        <v>44</v>
      </c>
      <c r="E28" s="111" t="str">
        <f t="shared" si="9"/>
        <v/>
      </c>
      <c r="F28" s="104" t="s">
        <v>44</v>
      </c>
      <c r="G28" s="108" t="s">
        <v>44</v>
      </c>
      <c r="H28" s="80" t="s">
        <v>44</v>
      </c>
      <c r="I28" s="70" t="s">
        <v>44</v>
      </c>
      <c r="J28" s="17" t="s">
        <v>44</v>
      </c>
      <c r="K28" s="17" t="s">
        <v>44</v>
      </c>
      <c r="L28" s="17" t="s">
        <v>44</v>
      </c>
      <c r="M28" s="17" t="s">
        <v>44</v>
      </c>
      <c r="N28" s="51" t="s">
        <v>44</v>
      </c>
      <c r="O28" s="9"/>
      <c r="P28" s="9"/>
      <c r="Q28" s="9"/>
      <c r="R28" s="9"/>
      <c r="S28" s="9"/>
    </row>
    <row r="29" spans="1:24" x14ac:dyDescent="0.25">
      <c r="A29" s="29" t="str">
        <f t="shared" si="6"/>
        <v/>
      </c>
      <c r="B29" s="83" t="str">
        <f t="shared" si="7"/>
        <v/>
      </c>
      <c r="C29" s="47" t="str">
        <f t="shared" si="8"/>
        <v xml:space="preserve"> </v>
      </c>
      <c r="D29" s="104" t="s">
        <v>44</v>
      </c>
      <c r="E29" s="111" t="str">
        <f t="shared" si="9"/>
        <v/>
      </c>
      <c r="F29" s="104" t="s">
        <v>44</v>
      </c>
      <c r="G29" s="108" t="s">
        <v>44</v>
      </c>
      <c r="H29" s="80" t="s">
        <v>44</v>
      </c>
      <c r="I29" s="70" t="s">
        <v>44</v>
      </c>
      <c r="J29" s="17" t="s">
        <v>44</v>
      </c>
      <c r="K29" s="17" t="s">
        <v>44</v>
      </c>
      <c r="L29" s="17" t="s">
        <v>44</v>
      </c>
      <c r="M29" s="17" t="s">
        <v>44</v>
      </c>
      <c r="N29" s="51" t="s">
        <v>44</v>
      </c>
      <c r="O29" s="9"/>
      <c r="P29" s="9"/>
      <c r="Q29" s="9"/>
      <c r="R29" s="9"/>
      <c r="S29" s="9"/>
    </row>
    <row r="30" spans="1:24" x14ac:dyDescent="0.25">
      <c r="A30" s="28" t="str">
        <f t="shared" si="6"/>
        <v/>
      </c>
      <c r="B30" s="84" t="str">
        <f t="shared" si="7"/>
        <v/>
      </c>
      <c r="C30" s="120" t="str">
        <f t="shared" si="8"/>
        <v xml:space="preserve"> </v>
      </c>
      <c r="D30" s="105" t="s">
        <v>44</v>
      </c>
      <c r="E30" s="121" t="str">
        <f t="shared" si="9"/>
        <v/>
      </c>
      <c r="F30" s="105" t="s">
        <v>44</v>
      </c>
      <c r="G30" s="109" t="s">
        <v>44</v>
      </c>
      <c r="H30" s="81" t="s">
        <v>44</v>
      </c>
      <c r="I30" s="71" t="s">
        <v>44</v>
      </c>
      <c r="J30" s="27" t="s">
        <v>44</v>
      </c>
      <c r="K30" s="27" t="s">
        <v>44</v>
      </c>
      <c r="L30" s="27" t="s">
        <v>44</v>
      </c>
      <c r="M30" s="27" t="s">
        <v>44</v>
      </c>
      <c r="N30" s="52" t="s">
        <v>44</v>
      </c>
      <c r="O30" s="9"/>
      <c r="P30" s="9"/>
      <c r="Q30" s="9"/>
      <c r="R30" s="9"/>
      <c r="S30" s="9"/>
    </row>
    <row r="31" spans="1:24" x14ac:dyDescent="0.25">
      <c r="A31" s="9"/>
      <c r="B31" s="24"/>
      <c r="C31" s="9"/>
      <c r="D31" s="9"/>
      <c r="E31" s="9"/>
      <c r="F31" s="9"/>
      <c r="G31" s="10"/>
      <c r="H31" s="10"/>
      <c r="I31" s="10"/>
      <c r="J31" s="10"/>
      <c r="K31" s="10"/>
      <c r="L31" s="10"/>
      <c r="M31" s="10"/>
      <c r="N31" s="10"/>
      <c r="O31" s="9"/>
      <c r="P31" s="9"/>
      <c r="Q31" s="9"/>
      <c r="R31" s="9"/>
      <c r="S31" s="9"/>
    </row>
    <row r="32" spans="1:24" x14ac:dyDescent="0.25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</row>
    <row r="33" spans="1:19" x14ac:dyDescent="0.25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</row>
    <row r="34" spans="1:19" x14ac:dyDescent="0.25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</row>
    <row r="35" spans="1:19" x14ac:dyDescent="0.25">
      <c r="A35" s="9"/>
      <c r="B35" s="9"/>
      <c r="C35" s="9" t="s">
        <v>42</v>
      </c>
      <c r="D35" s="9"/>
      <c r="E35" s="9"/>
      <c r="F35" s="9"/>
      <c r="G35" s="9"/>
      <c r="H35" s="9"/>
      <c r="I35" s="9" t="s">
        <v>47</v>
      </c>
      <c r="J35" s="9"/>
      <c r="K35" s="9"/>
      <c r="L35" s="9"/>
      <c r="M35" s="9"/>
      <c r="N35" s="9"/>
      <c r="O35" s="9"/>
      <c r="P35" s="9"/>
      <c r="Q35" s="9"/>
      <c r="R35" s="9"/>
      <c r="S35" s="9"/>
    </row>
    <row r="36" spans="1:19" x14ac:dyDescent="0.25">
      <c r="A36" s="9"/>
      <c r="B36" s="8">
        <v>10.000000000000002</v>
      </c>
      <c r="C36" s="8">
        <v>-4.0000000000000009</v>
      </c>
      <c r="D36" s="9"/>
      <c r="E36" s="9"/>
      <c r="F36" s="9"/>
      <c r="G36" s="9"/>
      <c r="H36" s="9"/>
      <c r="I36" s="9" t="s">
        <v>45</v>
      </c>
      <c r="J36" s="9" t="s">
        <v>45</v>
      </c>
      <c r="K36" s="9" t="s">
        <v>45</v>
      </c>
      <c r="L36" s="9" t="s">
        <v>45</v>
      </c>
      <c r="M36" s="9" t="s">
        <v>45</v>
      </c>
      <c r="N36" s="8" t="s">
        <v>45</v>
      </c>
      <c r="O36" s="8"/>
      <c r="P36" s="9"/>
      <c r="Q36" s="9"/>
      <c r="R36" s="9"/>
      <c r="S36" s="9"/>
    </row>
    <row r="37" spans="1:19" x14ac:dyDescent="0.25">
      <c r="A37" s="9"/>
      <c r="B37" s="8">
        <v>-0.4</v>
      </c>
      <c r="C37" s="8">
        <v>10.000000000000002</v>
      </c>
      <c r="D37" s="9"/>
      <c r="E37" s="9"/>
      <c r="F37" s="9"/>
      <c r="G37" s="9"/>
      <c r="H37" s="9"/>
      <c r="I37" s="9" t="s">
        <v>45</v>
      </c>
      <c r="J37" s="9" t="s">
        <v>45</v>
      </c>
      <c r="K37" s="9" t="s">
        <v>45</v>
      </c>
      <c r="L37" s="9" t="s">
        <v>45</v>
      </c>
      <c r="M37" s="9" t="s">
        <v>45</v>
      </c>
      <c r="N37" s="8" t="s">
        <v>45</v>
      </c>
      <c r="O37" s="8"/>
      <c r="P37" s="9"/>
      <c r="Q37" s="9"/>
      <c r="R37" s="9"/>
      <c r="S37" s="9"/>
    </row>
    <row r="38" spans="1:19" x14ac:dyDescent="0.25">
      <c r="A38" s="9"/>
      <c r="B38" s="9"/>
      <c r="C38" s="9"/>
      <c r="D38" s="9"/>
      <c r="E38" s="9"/>
      <c r="F38" s="9"/>
      <c r="G38" s="9"/>
      <c r="H38" s="9"/>
      <c r="I38" s="9" t="s">
        <v>45</v>
      </c>
      <c r="J38" s="9" t="s">
        <v>45</v>
      </c>
      <c r="K38" s="9" t="s">
        <v>45</v>
      </c>
      <c r="L38" s="9" t="s">
        <v>45</v>
      </c>
      <c r="M38" s="9" t="s">
        <v>45</v>
      </c>
      <c r="N38" s="8" t="s">
        <v>45</v>
      </c>
      <c r="O38" s="8"/>
      <c r="P38" s="9"/>
      <c r="Q38" s="9"/>
      <c r="R38" s="9"/>
      <c r="S38" s="9"/>
    </row>
    <row r="39" spans="1:19" x14ac:dyDescent="0.25">
      <c r="A39" s="9"/>
      <c r="B39" s="9"/>
      <c r="C39" s="9"/>
      <c r="D39" s="9"/>
      <c r="E39" s="9"/>
      <c r="F39" s="9"/>
      <c r="G39" s="9"/>
      <c r="H39" s="9"/>
      <c r="I39" s="9" t="s">
        <v>45</v>
      </c>
      <c r="J39" s="9" t="s">
        <v>45</v>
      </c>
      <c r="K39" s="9" t="s">
        <v>45</v>
      </c>
      <c r="L39" s="9" t="s">
        <v>45</v>
      </c>
      <c r="M39" s="9" t="s">
        <v>45</v>
      </c>
      <c r="N39" s="8" t="s">
        <v>45</v>
      </c>
      <c r="O39" s="8"/>
      <c r="P39" s="9"/>
      <c r="Q39" s="9"/>
      <c r="R39" s="9"/>
      <c r="S39" s="9"/>
    </row>
    <row r="40" spans="1:19" x14ac:dyDescent="0.25">
      <c r="A40" s="9"/>
      <c r="B40" s="9"/>
      <c r="C40" s="9"/>
      <c r="D40" s="9"/>
      <c r="E40" s="9"/>
      <c r="F40" s="9"/>
      <c r="G40" s="9"/>
      <c r="H40" s="9"/>
      <c r="I40" s="9" t="s">
        <v>45</v>
      </c>
      <c r="J40" s="9" t="s">
        <v>45</v>
      </c>
      <c r="K40" s="9" t="s">
        <v>45</v>
      </c>
      <c r="L40" s="9" t="s">
        <v>45</v>
      </c>
      <c r="M40" s="9" t="s">
        <v>45</v>
      </c>
      <c r="N40" s="8" t="s">
        <v>45</v>
      </c>
      <c r="O40" s="8"/>
      <c r="P40" s="9"/>
      <c r="Q40" s="9"/>
      <c r="R40" s="9"/>
      <c r="S40" s="9"/>
    </row>
    <row r="41" spans="1:19" x14ac:dyDescent="0.25">
      <c r="A41" s="9"/>
      <c r="B41" s="9"/>
      <c r="C41" s="9"/>
      <c r="D41" s="9"/>
      <c r="E41" s="9"/>
      <c r="F41" s="9"/>
      <c r="G41" s="9"/>
      <c r="H41" s="9"/>
      <c r="I41" s="9" t="s">
        <v>45</v>
      </c>
      <c r="J41" s="9" t="s">
        <v>45</v>
      </c>
      <c r="K41" s="9" t="s">
        <v>45</v>
      </c>
      <c r="L41" s="9" t="s">
        <v>45</v>
      </c>
      <c r="M41" s="9" t="s">
        <v>45</v>
      </c>
      <c r="N41" s="8" t="s">
        <v>45</v>
      </c>
      <c r="O41" s="8"/>
      <c r="P41" s="9"/>
      <c r="Q41" s="9"/>
      <c r="R41" s="9"/>
      <c r="S41" s="9"/>
    </row>
    <row r="42" spans="1:19" x14ac:dyDescent="0.25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</row>
    <row r="43" spans="1:19" x14ac:dyDescent="0.25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</row>
    <row r="44" spans="1:19" x14ac:dyDescent="0.25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</row>
    <row r="45" spans="1:19" x14ac:dyDescent="0.25">
      <c r="A45" s="9"/>
      <c r="B45" s="9"/>
      <c r="C45" s="9" t="s">
        <v>43</v>
      </c>
      <c r="D45" s="9"/>
      <c r="E45" s="9"/>
      <c r="F45" s="9"/>
      <c r="G45" s="9"/>
      <c r="H45" s="9"/>
      <c r="I45" s="9" t="s">
        <v>46</v>
      </c>
      <c r="J45" s="9"/>
      <c r="K45" s="9"/>
      <c r="L45" s="9"/>
      <c r="M45" s="9"/>
      <c r="N45" s="9"/>
      <c r="O45" s="9"/>
      <c r="P45" s="9"/>
      <c r="Q45" s="9"/>
      <c r="R45" s="9"/>
      <c r="S45" s="9"/>
    </row>
    <row r="46" spans="1:19" x14ac:dyDescent="0.25">
      <c r="A46" s="9"/>
      <c r="B46" s="8">
        <v>14.999999999999998</v>
      </c>
      <c r="C46" s="8">
        <v>-5.9999999999999991</v>
      </c>
      <c r="D46" s="9"/>
      <c r="E46" s="9"/>
      <c r="F46" s="9"/>
      <c r="G46" s="9"/>
      <c r="H46" s="9"/>
      <c r="I46" s="9" t="s">
        <v>41</v>
      </c>
      <c r="J46" s="9" t="s">
        <v>41</v>
      </c>
      <c r="K46" s="9" t="s">
        <v>41</v>
      </c>
      <c r="L46" s="9" t="s">
        <v>41</v>
      </c>
      <c r="M46" s="9" t="s">
        <v>41</v>
      </c>
      <c r="N46" s="8" t="s">
        <v>41</v>
      </c>
      <c r="O46" s="8"/>
      <c r="P46" s="9"/>
      <c r="Q46" s="9"/>
      <c r="R46" s="9"/>
      <c r="S46" s="9"/>
    </row>
    <row r="47" spans="1:19" x14ac:dyDescent="0.25">
      <c r="A47" s="9"/>
      <c r="B47" s="8">
        <v>-0.16329931618554519</v>
      </c>
      <c r="C47" s="8">
        <v>90</v>
      </c>
      <c r="D47" s="9"/>
      <c r="E47" s="9"/>
      <c r="F47" s="9"/>
      <c r="G47" s="9"/>
      <c r="H47" s="9"/>
      <c r="I47" s="9" t="s">
        <v>41</v>
      </c>
      <c r="J47" s="9" t="s">
        <v>41</v>
      </c>
      <c r="K47" s="9" t="s">
        <v>41</v>
      </c>
      <c r="L47" s="9" t="s">
        <v>41</v>
      </c>
      <c r="M47" s="9" t="s">
        <v>41</v>
      </c>
      <c r="N47" s="8" t="s">
        <v>41</v>
      </c>
      <c r="O47" s="8"/>
      <c r="P47" s="9"/>
      <c r="Q47" s="9"/>
      <c r="R47" s="9"/>
      <c r="S47" s="9"/>
    </row>
    <row r="48" spans="1:19" x14ac:dyDescent="0.25">
      <c r="A48" s="9"/>
      <c r="B48" s="9"/>
      <c r="C48" s="9"/>
      <c r="D48" s="9"/>
      <c r="E48" s="9"/>
      <c r="F48" s="9"/>
      <c r="G48" s="9"/>
      <c r="H48" s="9"/>
      <c r="I48" s="9" t="s">
        <v>41</v>
      </c>
      <c r="J48" s="9" t="s">
        <v>41</v>
      </c>
      <c r="K48" s="9" t="s">
        <v>41</v>
      </c>
      <c r="L48" s="9" t="s">
        <v>41</v>
      </c>
      <c r="M48" s="9" t="s">
        <v>41</v>
      </c>
      <c r="N48" s="8" t="s">
        <v>41</v>
      </c>
      <c r="O48" s="8"/>
      <c r="P48" s="9"/>
      <c r="Q48" s="9"/>
      <c r="R48" s="9"/>
      <c r="S48" s="9"/>
    </row>
    <row r="49" spans="1:19" x14ac:dyDescent="0.25">
      <c r="A49" s="9"/>
      <c r="B49" s="9"/>
      <c r="C49" s="9"/>
      <c r="D49" s="9"/>
      <c r="E49" s="9"/>
      <c r="F49" s="9"/>
      <c r="G49" s="9"/>
      <c r="H49" s="9"/>
      <c r="I49" s="9" t="s">
        <v>41</v>
      </c>
      <c r="J49" s="9" t="s">
        <v>41</v>
      </c>
      <c r="K49" s="9" t="s">
        <v>41</v>
      </c>
      <c r="L49" s="9" t="s">
        <v>41</v>
      </c>
      <c r="M49" s="9" t="s">
        <v>41</v>
      </c>
      <c r="N49" s="8" t="s">
        <v>41</v>
      </c>
      <c r="O49" s="8"/>
      <c r="P49" s="9"/>
      <c r="Q49" s="9"/>
      <c r="R49" s="9"/>
      <c r="S49" s="9"/>
    </row>
    <row r="50" spans="1:19" x14ac:dyDescent="0.25">
      <c r="A50" s="9"/>
      <c r="B50" s="9"/>
      <c r="C50" s="9"/>
      <c r="D50" s="9"/>
      <c r="E50" s="9"/>
      <c r="F50" s="9"/>
      <c r="G50" s="9"/>
      <c r="H50" s="9"/>
      <c r="I50" s="9" t="s">
        <v>41</v>
      </c>
      <c r="J50" s="9" t="s">
        <v>41</v>
      </c>
      <c r="K50" s="9" t="s">
        <v>41</v>
      </c>
      <c r="L50" s="9" t="s">
        <v>41</v>
      </c>
      <c r="M50" s="9" t="s">
        <v>41</v>
      </c>
      <c r="N50" s="8" t="s">
        <v>41</v>
      </c>
      <c r="O50" s="8"/>
      <c r="P50" s="9"/>
      <c r="Q50" s="9"/>
      <c r="R50" s="9"/>
      <c r="S50" s="9"/>
    </row>
    <row r="51" spans="1:19" x14ac:dyDescent="0.25">
      <c r="A51" s="9"/>
      <c r="B51" s="9"/>
      <c r="C51" s="9"/>
      <c r="D51" s="9"/>
      <c r="E51" s="9"/>
      <c r="F51" s="9"/>
      <c r="G51" s="9"/>
      <c r="H51" s="9"/>
      <c r="I51" s="9" t="s">
        <v>41</v>
      </c>
      <c r="J51" s="9" t="s">
        <v>41</v>
      </c>
      <c r="K51" s="9" t="s">
        <v>41</v>
      </c>
      <c r="L51" s="9" t="s">
        <v>41</v>
      </c>
      <c r="M51" s="9" t="s">
        <v>41</v>
      </c>
      <c r="N51" s="8" t="s">
        <v>41</v>
      </c>
      <c r="O51" s="8"/>
      <c r="P51" s="9"/>
      <c r="Q51" s="9"/>
      <c r="R51" s="9"/>
      <c r="S51" s="9"/>
    </row>
    <row r="52" spans="1:19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8"/>
      <c r="O52" s="8"/>
      <c r="P52" s="9"/>
      <c r="Q52" s="9"/>
      <c r="R52" s="9"/>
      <c r="S52" s="9"/>
    </row>
    <row r="53" spans="1:19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8"/>
      <c r="O53" s="8"/>
      <c r="P53" s="9"/>
      <c r="Q53" s="9"/>
      <c r="R53" s="9"/>
      <c r="S53" s="9"/>
    </row>
    <row r="54" spans="1:19" x14ac:dyDescent="0.25"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P54" s="9"/>
      <c r="Q54" s="9"/>
      <c r="R54" s="9"/>
      <c r="S54" s="9"/>
    </row>
  </sheetData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Instructions</vt:lpstr>
      <vt:lpstr>2Traits</vt:lpstr>
      <vt:lpstr>MilkandFeed</vt:lpstr>
      <vt:lpstr>MilkandFerility</vt:lpstr>
      <vt:lpstr>exampleSelection</vt:lpstr>
      <vt:lpstr>'2Traits'!nt</vt:lpstr>
      <vt:lpstr>exampleSelection!nt</vt:lpstr>
      <vt:lpstr>MilkandFeed!nt</vt:lpstr>
      <vt:lpstr>MilkandFerility!nt</vt:lpstr>
    </vt:vector>
  </TitlesOfParts>
  <Company>animal science UNE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jvanderwerf</dc:creator>
  <cp:lastModifiedBy>vanderwerf</cp:lastModifiedBy>
  <cp:lastPrinted>2001-03-20T05:11:57Z</cp:lastPrinted>
  <dcterms:created xsi:type="dcterms:W3CDTF">1999-08-04T13:10:37Z</dcterms:created>
  <dcterms:modified xsi:type="dcterms:W3CDTF">2015-05-15T14:39:32Z</dcterms:modified>
</cp:coreProperties>
</file>